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agri0001-my.sharepoint.com/personal/dxhr024_agri0001_onmicrosoft_com/Documents/デスクトップ/document_generator_new/templates/支給申請/"/>
    </mc:Choice>
  </mc:AlternateContent>
  <xr:revisionPtr revIDLastSave="171" documentId="13_ncr:1_{97D5BD46-7B48-4514-A0B8-0C020D6B3C7C}" xr6:coauthVersionLast="47" xr6:coauthVersionMax="47" xr10:uidLastSave="{2FC4DDB9-A02E-4249-B1AC-4D8804564272}"/>
  <bookViews>
    <workbookView xWindow="-98" yWindow="-98" windowWidth="22276" windowHeight="13276" xr2:uid="{00000000-000D-0000-FFFF-FFFF00000000}"/>
  </bookViews>
  <sheets>
    <sheet name="様式第6-3号 " sheetId="58" r:id="rId1"/>
  </sheets>
  <definedNames>
    <definedName name="_xlnm.Print_Area" localSheetId="0">'様式第6-3号 '!$A$1:$AT$89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9" i="58" l="1"/>
  <c r="B24" i="58" s="1"/>
  <c r="B41" i="58"/>
  <c r="M23" i="58"/>
  <c r="M27" i="58" s="1"/>
  <c r="AX9" i="58"/>
  <c r="AW9" i="58"/>
  <c r="AX8" i="58"/>
  <c r="AW8" i="58"/>
  <c r="BA8" i="58" l="1"/>
  <c r="AY9" i="58"/>
  <c r="AY8" i="58"/>
  <c r="Y23" i="58" s="1"/>
  <c r="Y27" i="58" s="1"/>
  <c r="AZ8" i="58"/>
  <c r="BB8" i="58" s="1"/>
  <c r="BC8" i="58" s="1"/>
  <c r="M41" i="58" s="1"/>
  <c r="AK24" i="58" l="1"/>
  <c r="M30" i="58" s="1"/>
  <c r="AK30" i="58" s="1"/>
  <c r="M36" i="58" s="1"/>
  <c r="AK36" i="58" s="1"/>
  <c r="Y44" i="58"/>
  <c r="Y40" i="58"/>
  <c r="AK47" i="58" l="1"/>
  <c r="AK50" i="58" s="1"/>
</calcChain>
</file>

<file path=xl/sharedStrings.xml><?xml version="1.0" encoding="utf-8"?>
<sst xmlns="http://schemas.openxmlformats.org/spreadsheetml/2006/main" count="229" uniqueCount="167">
  <si>
    <t>１</t>
    <phoneticPr fontId="2"/>
  </si>
  <si>
    <t>　助成の区分</t>
    <rPh sb="1" eb="3">
      <t>ジョセイ</t>
    </rPh>
    <rPh sb="4" eb="6">
      <t>クブン</t>
    </rPh>
    <phoneticPr fontId="2"/>
  </si>
  <si>
    <t>①</t>
    <phoneticPr fontId="2"/>
  </si>
  <si>
    <t>人への投資促進コース
（定額制訓練）</t>
  </si>
  <si>
    <t>②</t>
    <phoneticPr fontId="2"/>
  </si>
  <si>
    <t>人への投資促進コース
（自発的職業能力開発訓練）</t>
    <phoneticPr fontId="2"/>
  </si>
  <si>
    <t>③</t>
    <phoneticPr fontId="2"/>
  </si>
  <si>
    <t>　職業訓練実施計画届の
　受付番号</t>
    <rPh sb="1" eb="3">
      <t>ショクギョウ</t>
    </rPh>
    <rPh sb="3" eb="5">
      <t>クンレン</t>
    </rPh>
    <rPh sb="5" eb="7">
      <t>ジッシ</t>
    </rPh>
    <rPh sb="7" eb="9">
      <t>ケイカク</t>
    </rPh>
    <rPh sb="9" eb="10">
      <t>トドケ</t>
    </rPh>
    <rPh sb="13" eb="15">
      <t>ウケツケ</t>
    </rPh>
    <rPh sb="15" eb="17">
      <t>バンゴウ</t>
    </rPh>
    <phoneticPr fontId="2"/>
  </si>
  <si>
    <t>01</t>
    <phoneticPr fontId="2"/>
  </si>
  <si>
    <t>名</t>
    <rPh sb="0" eb="1">
      <t>メイ</t>
    </rPh>
    <phoneticPr fontId="2"/>
  </si>
  <si>
    <t>02</t>
    <phoneticPr fontId="2"/>
  </si>
  <si>
    <t>02</t>
  </si>
  <si>
    <t>初日</t>
    <rPh sb="0" eb="2">
      <t>ショニチ</t>
    </rPh>
    <phoneticPr fontId="2"/>
  </si>
  <si>
    <t>年</t>
    <rPh sb="0" eb="1">
      <t>ネン</t>
    </rPh>
    <phoneticPr fontId="2"/>
  </si>
  <si>
    <t>月</t>
    <rPh sb="0" eb="1">
      <t>ガツ</t>
    </rPh>
    <phoneticPr fontId="2"/>
  </si>
  <si>
    <t>日</t>
    <rPh sb="0" eb="1">
      <t>ニチ</t>
    </rPh>
    <phoneticPr fontId="2"/>
  </si>
  <si>
    <t>最終日</t>
    <rPh sb="0" eb="3">
      <t>サイシュウビ</t>
    </rPh>
    <phoneticPr fontId="2"/>
  </si>
  <si>
    <t>12</t>
  </si>
  <si>
    <t>31</t>
  </si>
  <si>
    <t>03</t>
  </si>
  <si>
    <t>　契約期間</t>
    <rPh sb="1" eb="3">
      <t>ケイヤク</t>
    </rPh>
    <rPh sb="3" eb="5">
      <t>キカン</t>
    </rPh>
    <phoneticPr fontId="2"/>
  </si>
  <si>
    <t>04</t>
    <phoneticPr fontId="2"/>
  </si>
  <si>
    <t>04</t>
  </si>
  <si>
    <t>　対象経費の算定</t>
    <rPh sb="1" eb="3">
      <t>タイショウ</t>
    </rPh>
    <rPh sb="3" eb="5">
      <t>ケイヒ</t>
    </rPh>
    <rPh sb="6" eb="8">
      <t>サンテイ</t>
    </rPh>
    <phoneticPr fontId="2"/>
  </si>
  <si>
    <t>05</t>
  </si>
  <si>
    <t>（１）５欄「契約者数（総受講者数）」及び７欄「契約期間」に対応した経費</t>
    <rPh sb="33" eb="35">
      <t>ケイヒ</t>
    </rPh>
    <phoneticPr fontId="2"/>
  </si>
  <si>
    <t>06</t>
  </si>
  <si>
    <t>円</t>
    <rPh sb="0" eb="1">
      <t>エン</t>
    </rPh>
    <phoneticPr fontId="2"/>
  </si>
  <si>
    <t>07</t>
  </si>
  <si>
    <t>オプション料金</t>
    <rPh sb="5" eb="7">
      <t>リョウキン</t>
    </rPh>
    <phoneticPr fontId="2"/>
  </si>
  <si>
    <t>オプションの名称</t>
    <rPh sb="6" eb="8">
      <t>メイショウ</t>
    </rPh>
    <phoneticPr fontId="2"/>
  </si>
  <si>
    <t>08</t>
  </si>
  <si>
    <t>09</t>
  </si>
  <si>
    <t>10</t>
  </si>
  <si>
    <t>11</t>
  </si>
  <si>
    <t>13</t>
  </si>
  <si>
    <t>14</t>
  </si>
  <si>
    <t>（２）４欄「助成対象労働者数」及び６欄「訓練の実施期間」に対応した経費の算定</t>
    <rPh sb="4" eb="5">
      <t>ラン</t>
    </rPh>
    <rPh sb="6" eb="13">
      <t>ジョセイタイショウロウドウシャ</t>
    </rPh>
    <rPh sb="13" eb="14">
      <t>スウ</t>
    </rPh>
    <rPh sb="20" eb="22">
      <t>クンレン</t>
    </rPh>
    <rPh sb="23" eb="25">
      <t>ジッシ</t>
    </rPh>
    <rPh sb="25" eb="27">
      <t>キカン</t>
    </rPh>
    <rPh sb="33" eb="35">
      <t>ケイヒ</t>
    </rPh>
    <rPh sb="36" eb="38">
      <t>サンテイ</t>
    </rPh>
    <phoneticPr fontId="2"/>
  </si>
  <si>
    <t>15</t>
  </si>
  <si>
    <t>６欄「訓練の実施期間」の日数</t>
    <rPh sb="1" eb="2">
      <t>ラン</t>
    </rPh>
    <rPh sb="3" eb="5">
      <t>クンレン</t>
    </rPh>
    <rPh sb="6" eb="8">
      <t>ジッシ</t>
    </rPh>
    <rPh sb="8" eb="10">
      <t>キカン</t>
    </rPh>
    <rPh sb="12" eb="14">
      <t>ニッスウ</t>
    </rPh>
    <phoneticPr fontId="2"/>
  </si>
  <si>
    <t>16</t>
  </si>
  <si>
    <t>（１）契約した経費</t>
    <rPh sb="3" eb="5">
      <t>ケイヤク</t>
    </rPh>
    <rPh sb="7" eb="9">
      <t>ケイヒ</t>
    </rPh>
    <phoneticPr fontId="2"/>
  </si>
  <si>
    <t>×</t>
    <phoneticPr fontId="2"/>
  </si>
  <si>
    <t>人</t>
    <rPh sb="0" eb="1">
      <t>ニン</t>
    </rPh>
    <phoneticPr fontId="2"/>
  </si>
  <si>
    <t>＝</t>
    <phoneticPr fontId="2"/>
  </si>
  <si>
    <t>対象経費</t>
    <rPh sb="0" eb="2">
      <t>タイショウ</t>
    </rPh>
    <rPh sb="2" eb="4">
      <t>ケイヒ</t>
    </rPh>
    <phoneticPr fontId="2"/>
  </si>
  <si>
    <t>17</t>
  </si>
  <si>
    <t>18</t>
  </si>
  <si>
    <t>19</t>
  </si>
  <si>
    <t>５欄「契約者数（総受講者数）」</t>
    <rPh sb="1" eb="2">
      <t>ラン</t>
    </rPh>
    <rPh sb="3" eb="6">
      <t>ケイヤクシャ</t>
    </rPh>
    <rPh sb="6" eb="7">
      <t>スウ</t>
    </rPh>
    <rPh sb="8" eb="13">
      <t>ソウジュコウシャスウ</t>
    </rPh>
    <phoneticPr fontId="2"/>
  </si>
  <si>
    <t>7欄「契約期間」の日数</t>
    <rPh sb="1" eb="2">
      <t>ラン</t>
    </rPh>
    <rPh sb="3" eb="5">
      <t>ケイヤク</t>
    </rPh>
    <rPh sb="5" eb="7">
      <t>キカン</t>
    </rPh>
    <rPh sb="9" eb="11">
      <t>ニッスウ</t>
    </rPh>
    <phoneticPr fontId="2"/>
  </si>
  <si>
    <t>20</t>
  </si>
  <si>
    <t>21</t>
  </si>
  <si>
    <t>（３）支給対象経費の算定</t>
    <rPh sb="3" eb="5">
      <t>シキュウ</t>
    </rPh>
    <rPh sb="5" eb="7">
      <t>タイショウ</t>
    </rPh>
    <rPh sb="7" eb="9">
      <t>ケイヒ</t>
    </rPh>
    <rPh sb="10" eb="12">
      <t>サンテイ</t>
    </rPh>
    <phoneticPr fontId="2"/>
  </si>
  <si>
    <t>22</t>
  </si>
  <si>
    <t>（２）対象経費</t>
    <rPh sb="3" eb="5">
      <t>タイショウ</t>
    </rPh>
    <rPh sb="5" eb="7">
      <t>ケイヒ</t>
    </rPh>
    <phoneticPr fontId="2"/>
  </si>
  <si>
    <t>支給対象経費</t>
    <rPh sb="0" eb="2">
      <t>シキュウ</t>
    </rPh>
    <rPh sb="2" eb="4">
      <t>タイショウ</t>
    </rPh>
    <rPh sb="4" eb="6">
      <t>ケイヒ</t>
    </rPh>
    <phoneticPr fontId="2"/>
  </si>
  <si>
    <t>23</t>
  </si>
  <si>
    <t>％</t>
    <phoneticPr fontId="2"/>
  </si>
  <si>
    <t>24</t>
  </si>
  <si>
    <t>定額制　大企業　45</t>
    <rPh sb="0" eb="3">
      <t>テイガクセイ</t>
    </rPh>
    <rPh sb="4" eb="7">
      <t>ダイキギョウ</t>
    </rPh>
    <phoneticPr fontId="2"/>
  </si>
  <si>
    <t>25</t>
  </si>
  <si>
    <t>９　経費助成額の算定</t>
    <rPh sb="2" eb="4">
      <t>ケイヒ</t>
    </rPh>
    <rPh sb="4" eb="7">
      <t>ジョセイガク</t>
    </rPh>
    <rPh sb="8" eb="10">
      <t>サンテイ</t>
    </rPh>
    <phoneticPr fontId="2"/>
  </si>
  <si>
    <t>定額制　中小企業　60</t>
    <rPh sb="0" eb="3">
      <t>テイガクセイ</t>
    </rPh>
    <rPh sb="4" eb="6">
      <t>チュウショウ</t>
    </rPh>
    <rPh sb="6" eb="8">
      <t>キギョウ</t>
    </rPh>
    <phoneticPr fontId="2"/>
  </si>
  <si>
    <t>26</t>
  </si>
  <si>
    <t>（１）算定額</t>
    <rPh sb="3" eb="6">
      <t>サンテイガク</t>
    </rPh>
    <phoneticPr fontId="2"/>
  </si>
  <si>
    <t>自発的　45</t>
    <rPh sb="0" eb="3">
      <t>ジハツテキ</t>
    </rPh>
    <phoneticPr fontId="2"/>
  </si>
  <si>
    <t>27</t>
  </si>
  <si>
    <t>８欄（３）支給対象経費</t>
    <rPh sb="1" eb="2">
      <t>ラン</t>
    </rPh>
    <rPh sb="5" eb="7">
      <t>シキュウ</t>
    </rPh>
    <rPh sb="7" eb="9">
      <t>タイショウ</t>
    </rPh>
    <rPh sb="9" eb="11">
      <t>ケイヒ</t>
    </rPh>
    <phoneticPr fontId="2"/>
  </si>
  <si>
    <t>経費助成率</t>
    <rPh sb="0" eb="2">
      <t>ケイヒ</t>
    </rPh>
    <rPh sb="2" eb="5">
      <t>ジョセイリツ</t>
    </rPh>
    <phoneticPr fontId="2"/>
  </si>
  <si>
    <t>算定額</t>
    <rPh sb="0" eb="3">
      <t>サンテイガク</t>
    </rPh>
    <phoneticPr fontId="2"/>
  </si>
  <si>
    <t>リスキリング　大企業 60</t>
    <rPh sb="7" eb="10">
      <t>ダイキギョウ</t>
    </rPh>
    <phoneticPr fontId="2"/>
  </si>
  <si>
    <t>28</t>
  </si>
  <si>
    <t>リスキリング　中小企業 75</t>
    <rPh sb="7" eb="9">
      <t>チュウショウ</t>
    </rPh>
    <rPh sb="9" eb="11">
      <t>キギョウ</t>
    </rPh>
    <phoneticPr fontId="2"/>
  </si>
  <si>
    <t>29</t>
  </si>
  <si>
    <t>（100円未満は切捨て）</t>
    <rPh sb="4" eb="5">
      <t>エン</t>
    </rPh>
    <rPh sb="5" eb="7">
      <t>ミマン</t>
    </rPh>
    <rPh sb="8" eb="9">
      <t>キ</t>
    </rPh>
    <rPh sb="9" eb="10">
      <t>ス</t>
    </rPh>
    <phoneticPr fontId="2"/>
  </si>
  <si>
    <t>賃金要件等割増分　15</t>
    <rPh sb="0" eb="2">
      <t>チンギン</t>
    </rPh>
    <rPh sb="2" eb="4">
      <t>ヨウケン</t>
    </rPh>
    <rPh sb="4" eb="5">
      <t>ナド</t>
    </rPh>
    <rPh sb="5" eb="6">
      <t>ワ</t>
    </rPh>
    <rPh sb="6" eb="7">
      <t>マ</t>
    </rPh>
    <rPh sb="7" eb="8">
      <t>ブン</t>
    </rPh>
    <phoneticPr fontId="2"/>
  </si>
  <si>
    <t>30</t>
  </si>
  <si>
    <t>（２）上限額の算定</t>
    <rPh sb="3" eb="6">
      <t>ジョウゲンガク</t>
    </rPh>
    <rPh sb="7" eb="9">
      <t>サンテイ</t>
    </rPh>
    <phoneticPr fontId="2"/>
  </si>
  <si>
    <t>１人１か月あたりの上限額</t>
    <rPh sb="1" eb="2">
      <t>ニン</t>
    </rPh>
    <rPh sb="4" eb="5">
      <t>ゲツ</t>
    </rPh>
    <rPh sb="9" eb="12">
      <t>ジョウゲンガク</t>
    </rPh>
    <phoneticPr fontId="2"/>
  </si>
  <si>
    <t>月</t>
    <rPh sb="0" eb="1">
      <t>ツキ</t>
    </rPh>
    <phoneticPr fontId="2"/>
  </si>
  <si>
    <t>上限額</t>
    <rPh sb="0" eb="3">
      <t>ジョウゲンガク</t>
    </rPh>
    <phoneticPr fontId="2"/>
  </si>
  <si>
    <t>（100円未満は切捨て）</t>
    <phoneticPr fontId="2"/>
  </si>
  <si>
    <t>※　ホームページから様式をダウンロードする際は、第２面も両面印刷して使用してください。</t>
    <rPh sb="10" eb="12">
      <t>ヨウシキ</t>
    </rPh>
    <rPh sb="21" eb="22">
      <t>サイ</t>
    </rPh>
    <rPh sb="24" eb="25">
      <t>ダイ</t>
    </rPh>
    <rPh sb="26" eb="27">
      <t>メン</t>
    </rPh>
    <rPh sb="28" eb="30">
      <t>リョウメン</t>
    </rPh>
    <rPh sb="30" eb="32">
      <t>インサツ</t>
    </rPh>
    <rPh sb="34" eb="36">
      <t>シヨウ</t>
    </rPh>
    <phoneticPr fontId="2"/>
  </si>
  <si>
    <t>【提出上の注意】</t>
    <rPh sb="1" eb="3">
      <t>テイシュツ</t>
    </rPh>
    <rPh sb="3" eb="4">
      <t>ジョウ</t>
    </rPh>
    <rPh sb="5" eb="7">
      <t>チュウイ</t>
    </rPh>
    <phoneticPr fontId="2"/>
  </si>
  <si>
    <t>２</t>
    <phoneticPr fontId="2"/>
  </si>
  <si>
    <t>３</t>
    <phoneticPr fontId="2"/>
  </si>
  <si>
    <t>４</t>
    <phoneticPr fontId="2"/>
  </si>
  <si>
    <t>５</t>
    <phoneticPr fontId="2"/>
  </si>
  <si>
    <t>6</t>
    <phoneticPr fontId="2"/>
  </si>
  <si>
    <t>7</t>
    <phoneticPr fontId="2"/>
  </si>
  <si>
    <t>◎定額制サービスの経費助成率及び１人１か月あたりの上限額</t>
  </si>
  <si>
    <t>コース名・助成メニュー</t>
  </si>
  <si>
    <t>企業規模</t>
  </si>
  <si>
    <t>経費助成率</t>
  </si>
  <si>
    <t>１人１か月あたりの上限額</t>
  </si>
  <si>
    <t>通常分</t>
  </si>
  <si>
    <t>賃金要件等割増分</t>
  </si>
  <si>
    <t>中小企業</t>
  </si>
  <si>
    <t>２万円</t>
  </si>
  <si>
    <t>大企業</t>
  </si>
  <si>
    <t>人への投資促進コース
（自発的職業能力開発訓練）</t>
  </si>
  <si>
    <t>事業展開等リスキリング支援コース</t>
  </si>
  <si>
    <t>ー</t>
  </si>
  <si>
    <t>）</t>
    <phoneticPr fontId="2"/>
  </si>
  <si>
    <t>訓練の実施期間</t>
    <rPh sb="0" eb="2">
      <t>クンレン</t>
    </rPh>
    <rPh sb="3" eb="5">
      <t>ジッシ</t>
    </rPh>
    <rPh sb="5" eb="7">
      <t>キカン</t>
    </rPh>
    <phoneticPr fontId="2"/>
  </si>
  <si>
    <t>契約期間</t>
    <rPh sb="0" eb="2">
      <t>ケイヤク</t>
    </rPh>
    <rPh sb="2" eb="4">
      <t>キカン</t>
    </rPh>
    <phoneticPr fontId="2"/>
  </si>
  <si>
    <t>日数</t>
    <rPh sb="0" eb="2">
      <t>ニッスウ</t>
    </rPh>
    <phoneticPr fontId="2"/>
  </si>
  <si>
    <t>月数</t>
    <rPh sb="0" eb="2">
      <t>ツキスウ</t>
    </rPh>
    <phoneticPr fontId="2"/>
  </si>
  <si>
    <t>日数
（最終日－初日）</t>
    <rPh sb="0" eb="2">
      <t>ニッスウ</t>
    </rPh>
    <rPh sb="4" eb="7">
      <t>サイシュウビ</t>
    </rPh>
    <rPh sb="8" eb="10">
      <t>ショニチ</t>
    </rPh>
    <phoneticPr fontId="2"/>
  </si>
  <si>
    <t>（３）経費助成額（（１）算定額または（２）上限額のいずれか低い額）　</t>
    <phoneticPr fontId="2"/>
  </si>
  <si>
    <t>人材開発支援助成金（人への投資促進コース・事業展開等リスキリング支援コース）
定額制サービスによる訓練に関する経費助成の内訳</t>
    <rPh sb="10" eb="11">
      <t>ヒト</t>
    </rPh>
    <rPh sb="13" eb="17">
      <t>トウシソクシン</t>
    </rPh>
    <rPh sb="21" eb="23">
      <t>ジギョウ</t>
    </rPh>
    <rPh sb="23" eb="25">
      <t>テンカイ</t>
    </rPh>
    <rPh sb="25" eb="26">
      <t>トウ</t>
    </rPh>
    <rPh sb="32" eb="34">
      <t>シエン</t>
    </rPh>
    <rPh sb="52" eb="53">
      <t>カン</t>
    </rPh>
    <rPh sb="55" eb="57">
      <t>ケイヒ</t>
    </rPh>
    <rPh sb="57" eb="59">
      <t>ジョセイ</t>
    </rPh>
    <rPh sb="60" eb="62">
      <t>ウチワケ</t>
    </rPh>
    <phoneticPr fontId="2"/>
  </si>
  <si>
    <t>人への投資促進コース
（定額制訓練）</t>
    <phoneticPr fontId="2"/>
  </si>
  <si>
    <t>※下段に続く</t>
    <rPh sb="1" eb="2">
      <t>シタ</t>
    </rPh>
    <rPh sb="2" eb="3">
      <t>ダン</t>
    </rPh>
    <rPh sb="4" eb="5">
      <t>ツヅ</t>
    </rPh>
    <phoneticPr fontId="2"/>
  </si>
  <si>
    <t>＋</t>
    <phoneticPr fontId="2"/>
  </si>
  <si>
    <t>×（</t>
    <phoneticPr fontId="2"/>
  </si>
  <si>
    <t>６欄「訓練の実施期間」の最後の月（期間）の日数</t>
    <rPh sb="1" eb="2">
      <t>ラン</t>
    </rPh>
    <rPh sb="3" eb="5">
      <t>クンレン</t>
    </rPh>
    <rPh sb="6" eb="8">
      <t>ジッシ</t>
    </rPh>
    <rPh sb="8" eb="10">
      <t>キカン</t>
    </rPh>
    <rPh sb="12" eb="14">
      <t>サイゴ</t>
    </rPh>
    <rPh sb="15" eb="16">
      <t>ツキ</t>
    </rPh>
    <rPh sb="17" eb="19">
      <t>キカン</t>
    </rPh>
    <rPh sb="21" eb="23">
      <t>ニッスウ</t>
    </rPh>
    <phoneticPr fontId="2"/>
  </si>
  <si>
    <t>６欄「訓練の実施期間」の最後の月（期間）の歴日数</t>
    <rPh sb="1" eb="2">
      <t>ラン</t>
    </rPh>
    <rPh sb="3" eb="5">
      <t>クンレン</t>
    </rPh>
    <rPh sb="6" eb="8">
      <t>ジッシ</t>
    </rPh>
    <rPh sb="8" eb="10">
      <t>キカン</t>
    </rPh>
    <rPh sb="12" eb="14">
      <t>サイゴ</t>
    </rPh>
    <rPh sb="15" eb="16">
      <t>ツキ</t>
    </rPh>
    <rPh sb="17" eb="19">
      <t>キカン</t>
    </rPh>
    <rPh sb="21" eb="22">
      <t>レキ</t>
    </rPh>
    <rPh sb="22" eb="24">
      <t>ニッスウ</t>
    </rPh>
    <phoneticPr fontId="2"/>
  </si>
  <si>
    <t>　訓練の実施期間（上限１年）</t>
    <rPh sb="1" eb="3">
      <t>クンレン</t>
    </rPh>
    <rPh sb="4" eb="6">
      <t>ジッシ</t>
    </rPh>
    <rPh sb="6" eb="8">
      <t>キカン</t>
    </rPh>
    <rPh sb="9" eb="11">
      <t>ジョウゲン</t>
    </rPh>
    <rPh sb="12" eb="13">
      <t>ネン</t>
    </rPh>
    <phoneticPr fontId="2"/>
  </si>
  <si>
    <t>　契約者数（総受講者数）</t>
    <phoneticPr fontId="2"/>
  </si>
  <si>
    <t>プルダウンリスト</t>
    <phoneticPr fontId="2"/>
  </si>
  <si>
    <t>８</t>
    <phoneticPr fontId="2"/>
  </si>
  <si>
    <t>基本利用料</t>
    <rPh sb="0" eb="2">
      <t>キホン</t>
    </rPh>
    <rPh sb="2" eb="5">
      <t>リヨウリョウ</t>
    </rPh>
    <phoneticPr fontId="2"/>
  </si>
  <si>
    <t>　・支給対象訓練と支給対象外訓練を区分して契約が可能であるにも関わらず、支給対象外訓練の経費を含めて契約している場合の当該支給対象外経費部分</t>
    <rPh sb="2" eb="4">
      <t>シキュウ</t>
    </rPh>
    <rPh sb="4" eb="6">
      <t>タイショウ</t>
    </rPh>
    <rPh sb="6" eb="8">
      <t>クンレン</t>
    </rPh>
    <rPh sb="9" eb="11">
      <t>シキュウ</t>
    </rPh>
    <rPh sb="11" eb="13">
      <t>タイショウ</t>
    </rPh>
    <rPh sb="13" eb="14">
      <t>ガイ</t>
    </rPh>
    <rPh sb="14" eb="16">
      <t>クンレン</t>
    </rPh>
    <rPh sb="17" eb="19">
      <t>クブン</t>
    </rPh>
    <rPh sb="21" eb="23">
      <t>ケイヤク</t>
    </rPh>
    <rPh sb="24" eb="26">
      <t>カノウ</t>
    </rPh>
    <rPh sb="31" eb="32">
      <t>カカ</t>
    </rPh>
    <rPh sb="36" eb="38">
      <t>シキュウ</t>
    </rPh>
    <rPh sb="38" eb="40">
      <t>タイショウ</t>
    </rPh>
    <rPh sb="40" eb="41">
      <t>ガイ</t>
    </rPh>
    <rPh sb="41" eb="43">
      <t>クンレン</t>
    </rPh>
    <rPh sb="44" eb="46">
      <t>ケイヒ</t>
    </rPh>
    <rPh sb="47" eb="48">
      <t>フク</t>
    </rPh>
    <rPh sb="50" eb="52">
      <t>ケイヤク</t>
    </rPh>
    <rPh sb="56" eb="58">
      <t>バアイ</t>
    </rPh>
    <rPh sb="59" eb="61">
      <t>トウガイ</t>
    </rPh>
    <rPh sb="61" eb="63">
      <t>シキュウ</t>
    </rPh>
    <rPh sb="63" eb="65">
      <t>タイショウ</t>
    </rPh>
    <rPh sb="65" eb="66">
      <t>ガイ</t>
    </rPh>
    <rPh sb="66" eb="68">
      <t>ケイヒ</t>
    </rPh>
    <rPh sb="68" eb="70">
      <t>ブブン</t>
    </rPh>
    <phoneticPr fontId="2"/>
  </si>
  <si>
    <t>　・より安価な契約方法が可能にもかかわらず、合理的な理由なく当該契約方法による契約額を超えた額により契約している場合の当該差額部分</t>
    <rPh sb="4" eb="6">
      <t>アンカ</t>
    </rPh>
    <rPh sb="7" eb="9">
      <t>ケイヤク</t>
    </rPh>
    <rPh sb="9" eb="11">
      <t>ホウホウ</t>
    </rPh>
    <rPh sb="12" eb="14">
      <t>カノウ</t>
    </rPh>
    <rPh sb="22" eb="25">
      <t>ゴウリテキ</t>
    </rPh>
    <rPh sb="26" eb="28">
      <t>リユウ</t>
    </rPh>
    <rPh sb="30" eb="32">
      <t>トウガイ</t>
    </rPh>
    <rPh sb="32" eb="34">
      <t>ケイヤク</t>
    </rPh>
    <rPh sb="34" eb="36">
      <t>ホウホウ</t>
    </rPh>
    <rPh sb="39" eb="41">
      <t>ケイヤク</t>
    </rPh>
    <rPh sb="41" eb="42">
      <t>ガク</t>
    </rPh>
    <rPh sb="43" eb="44">
      <t>コ</t>
    </rPh>
    <rPh sb="46" eb="47">
      <t>ガク</t>
    </rPh>
    <rPh sb="50" eb="52">
      <t>ケイヤク</t>
    </rPh>
    <rPh sb="56" eb="58">
      <t>バアイ</t>
    </rPh>
    <rPh sb="59" eb="61">
      <t>トウガイ</t>
    </rPh>
    <rPh sb="61" eb="63">
      <t>サガク</t>
    </rPh>
    <rPh sb="63" eb="65">
      <t>ブブン</t>
    </rPh>
    <phoneticPr fontId="2"/>
  </si>
  <si>
    <t>９</t>
    <phoneticPr fontId="2"/>
  </si>
  <si>
    <t>経費助成率・上限額プルダウン</t>
    <rPh sb="0" eb="2">
      <t>ケイヒ</t>
    </rPh>
    <rPh sb="2" eb="4">
      <t>ジョセイ</t>
    </rPh>
    <rPh sb="4" eb="5">
      <t>リツ</t>
    </rPh>
    <rPh sb="6" eb="8">
      <t>ジョウゲン</t>
    </rPh>
    <rPh sb="8" eb="9">
      <t>ガク</t>
    </rPh>
    <phoneticPr fontId="2"/>
  </si>
  <si>
    <t>対象とならない経費</t>
    <phoneticPr fontId="2"/>
  </si>
  <si>
    <t>　・事業主都合により訓練を実施しなかった場合の当該経費</t>
    <rPh sb="2" eb="5">
      <t>ジギョウヌシ</t>
    </rPh>
    <rPh sb="5" eb="7">
      <t>ツゴウ</t>
    </rPh>
    <rPh sb="10" eb="12">
      <t>クンレン</t>
    </rPh>
    <rPh sb="13" eb="15">
      <t>ジッシ</t>
    </rPh>
    <rPh sb="20" eb="22">
      <t>バアイ</t>
    </rPh>
    <rPh sb="23" eb="25">
      <t>トウガイ</t>
    </rPh>
    <rPh sb="25" eb="27">
      <t>ケイヒ</t>
    </rPh>
    <phoneticPr fontId="2"/>
  </si>
  <si>
    <t>（なお、労働者都合による退職や天災等やむを得ない理由により、訓練を実施できなかった場合は、当該労働者分の経費については対象経費として申請することは可能です。）</t>
    <phoneticPr fontId="2"/>
  </si>
  <si>
    <t>自動計算</t>
    <rPh sb="0" eb="2">
      <t>ジドウ</t>
    </rPh>
    <rPh sb="2" eb="4">
      <t>ケイサン</t>
    </rPh>
    <phoneticPr fontId="2"/>
  </si>
  <si>
    <t>８（２）</t>
    <phoneticPr fontId="2"/>
  </si>
  <si>
    <t>９（２）</t>
    <phoneticPr fontId="2"/>
  </si>
  <si>
    <t>④「①・②契約した経費」から「③対象とならない経費」を除いた額　(＝①＋②－③）</t>
    <rPh sb="5" eb="7">
      <t>ケイヤク</t>
    </rPh>
    <rPh sb="9" eb="11">
      <t>ケイヒ</t>
    </rPh>
    <rPh sb="16" eb="18">
      <t>タイショウ</t>
    </rPh>
    <rPh sb="23" eb="25">
      <t>ケイヒ</t>
    </rPh>
    <rPh sb="27" eb="28">
      <t>ノゾ</t>
    </rPh>
    <rPh sb="30" eb="31">
      <t>ガク</t>
    </rPh>
    <phoneticPr fontId="2"/>
  </si>
  <si>
    <t>※オレンジで染色しているセルは自動計算となっています。</t>
    <phoneticPr fontId="2"/>
  </si>
  <si>
    <r>
      <t xml:space="preserve">６欄「訓練の実施期間」の月数
</t>
    </r>
    <r>
      <rPr>
        <sz val="9"/>
        <rFont val="Meiryo UI"/>
        <family val="3"/>
        <charset val="128"/>
      </rPr>
      <t>※最後の月（期間）が一月に満たない場合、その期間は除いてください。</t>
    </r>
    <rPh sb="16" eb="18">
      <t>サイゴ</t>
    </rPh>
    <rPh sb="19" eb="20">
      <t>ツキ</t>
    </rPh>
    <rPh sb="21" eb="23">
      <t>キカン</t>
    </rPh>
    <rPh sb="25" eb="26">
      <t>ヒト</t>
    </rPh>
    <rPh sb="26" eb="27">
      <t>ツキ</t>
    </rPh>
    <rPh sb="28" eb="29">
      <t>ミ</t>
    </rPh>
    <rPh sb="32" eb="34">
      <t>バアイ</t>
    </rPh>
    <rPh sb="37" eb="39">
      <t>キカン</t>
    </rPh>
    <rPh sb="40" eb="41">
      <t>ノゾ</t>
    </rPh>
    <phoneticPr fontId="2"/>
  </si>
  <si>
    <t>　訓練コース名</t>
    <phoneticPr fontId="2"/>
  </si>
  <si>
    <t>６・７</t>
    <phoneticPr fontId="2"/>
  </si>
  <si>
    <t>端数月の初日</t>
    <rPh sb="0" eb="2">
      <t>ハスウ</t>
    </rPh>
    <rPh sb="2" eb="3">
      <t>ツキ</t>
    </rPh>
    <rPh sb="4" eb="6">
      <t>ショニチ</t>
    </rPh>
    <phoneticPr fontId="2"/>
  </si>
  <si>
    <t>端数月の初日が属する月の最終日（暦日数）</t>
    <rPh sb="0" eb="2">
      <t>ハスウ</t>
    </rPh>
    <rPh sb="2" eb="3">
      <t>ツキ</t>
    </rPh>
    <rPh sb="4" eb="6">
      <t>ショニチ</t>
    </rPh>
    <rPh sb="7" eb="8">
      <t>ゾク</t>
    </rPh>
    <rPh sb="10" eb="11">
      <t>ツキ</t>
    </rPh>
    <rPh sb="12" eb="15">
      <t>サイシュウビ</t>
    </rPh>
    <rPh sb="16" eb="18">
      <t>レキジツ</t>
    </rPh>
    <rPh sb="18" eb="19">
      <t>スウ</t>
    </rPh>
    <phoneticPr fontId="2"/>
  </si>
  <si>
    <r>
      <t xml:space="preserve">通常分の支給決定額
</t>
    </r>
    <r>
      <rPr>
        <sz val="9"/>
        <rFont val="Meiryo UI"/>
        <family val="3"/>
        <charset val="128"/>
      </rPr>
      <t>※賃金等要件の場合、記載してください</t>
    </r>
    <rPh sb="0" eb="2">
      <t>ツウジョウ</t>
    </rPh>
    <rPh sb="2" eb="3">
      <t>ブン</t>
    </rPh>
    <rPh sb="4" eb="6">
      <t>シキュウ</t>
    </rPh>
    <rPh sb="6" eb="8">
      <t>ケッテイ</t>
    </rPh>
    <rPh sb="8" eb="9">
      <t>ガク</t>
    </rPh>
    <rPh sb="11" eb="13">
      <t>チンギン</t>
    </rPh>
    <rPh sb="13" eb="14">
      <t>トウ</t>
    </rPh>
    <rPh sb="14" eb="16">
      <t>ヨウケン</t>
    </rPh>
    <rPh sb="17" eb="19">
      <t>バアイ</t>
    </rPh>
    <rPh sb="20" eb="22">
      <t>キサイ</t>
    </rPh>
    <phoneticPr fontId="2"/>
  </si>
  <si>
    <r>
      <t xml:space="preserve">申請事業主が負担した割合
</t>
    </r>
    <r>
      <rPr>
        <sz val="10"/>
        <rFont val="Meiryo UI"/>
        <family val="3"/>
        <charset val="128"/>
      </rPr>
      <t>※全て負担した場合は100と記入してください。</t>
    </r>
    <phoneticPr fontId="2"/>
  </si>
  <si>
    <t>－</t>
    <phoneticPr fontId="2"/>
  </si>
  <si>
    <r>
      <rPr>
        <b/>
        <sz val="9"/>
        <rFont val="Meiryo UI"/>
        <family val="3"/>
        <charset val="128"/>
      </rPr>
      <t>１欄は</t>
    </r>
    <r>
      <rPr>
        <sz val="9"/>
        <rFont val="Meiryo UI"/>
        <family val="3"/>
        <charset val="128"/>
      </rPr>
      <t>、該当するコース・メニューの左側に、✓を選択してください。</t>
    </r>
    <rPh sb="17" eb="18">
      <t>ヒダリ</t>
    </rPh>
    <rPh sb="23" eb="25">
      <t>センタク</t>
    </rPh>
    <phoneticPr fontId="2"/>
  </si>
  <si>
    <r>
      <rPr>
        <b/>
        <sz val="9"/>
        <rFont val="Meiryo UI"/>
        <family val="3"/>
        <charset val="128"/>
      </rPr>
      <t>２欄は</t>
    </r>
    <r>
      <rPr>
        <sz val="9"/>
        <rFont val="Meiryo UI"/>
        <family val="3"/>
        <charset val="128"/>
      </rPr>
      <t>、職業訓練実施計画届（様式第1-1号）と対応した受付番号を記載してください。</t>
    </r>
    <phoneticPr fontId="2"/>
  </si>
  <si>
    <r>
      <rPr>
        <b/>
        <sz val="9"/>
        <rFont val="Meiryo UI"/>
        <family val="3"/>
        <charset val="128"/>
      </rPr>
      <t>３欄</t>
    </r>
    <r>
      <rPr>
        <sz val="9"/>
        <rFont val="Meiryo UI"/>
        <family val="3"/>
        <charset val="128"/>
      </rPr>
      <t>は、職業訓練実施計画届（様式第1-1号）と対応した訓練コースの名称を記載してください。</t>
    </r>
    <rPh sb="1" eb="2">
      <t>ラン</t>
    </rPh>
    <rPh sb="4" eb="6">
      <t>ショクギョウ</t>
    </rPh>
    <rPh sb="6" eb="8">
      <t>クンレン</t>
    </rPh>
    <rPh sb="8" eb="10">
      <t>ジッシ</t>
    </rPh>
    <rPh sb="10" eb="12">
      <t>ケイカク</t>
    </rPh>
    <rPh sb="12" eb="13">
      <t>トドケ</t>
    </rPh>
    <rPh sb="14" eb="16">
      <t>ヨウシキ</t>
    </rPh>
    <rPh sb="16" eb="17">
      <t>ダイ</t>
    </rPh>
    <rPh sb="20" eb="21">
      <t>ゴウ</t>
    </rPh>
    <rPh sb="23" eb="25">
      <t>タイオウ</t>
    </rPh>
    <rPh sb="27" eb="29">
      <t>クンレン</t>
    </rPh>
    <rPh sb="33" eb="35">
      <t>メイショウ</t>
    </rPh>
    <phoneticPr fontId="2"/>
  </si>
  <si>
    <r>
      <rPr>
        <b/>
        <sz val="9"/>
        <rFont val="Meiryo UI"/>
        <family val="3"/>
        <charset val="128"/>
      </rPr>
      <t>６欄「訓練の実施期間」は、</t>
    </r>
    <r>
      <rPr>
        <sz val="9"/>
        <rFont val="Meiryo UI"/>
        <family val="3"/>
        <charset val="128"/>
      </rPr>
      <t>職業訓練実施計画届（様式第1-1号）と対応した訓練の実施期間を記載してください。</t>
    </r>
    <rPh sb="1" eb="2">
      <t>ラン</t>
    </rPh>
    <rPh sb="3" eb="5">
      <t>クンレン</t>
    </rPh>
    <rPh sb="6" eb="8">
      <t>ジッシ</t>
    </rPh>
    <rPh sb="8" eb="10">
      <t>キカン</t>
    </rPh>
    <rPh sb="13" eb="15">
      <t>ショクギョウ</t>
    </rPh>
    <rPh sb="15" eb="17">
      <t>クンレン</t>
    </rPh>
    <rPh sb="17" eb="19">
      <t>ジッシ</t>
    </rPh>
    <rPh sb="19" eb="21">
      <t>ケイカク</t>
    </rPh>
    <rPh sb="21" eb="22">
      <t>トドケ</t>
    </rPh>
    <rPh sb="23" eb="25">
      <t>ヨウシキ</t>
    </rPh>
    <rPh sb="25" eb="26">
      <t>ダイ</t>
    </rPh>
    <rPh sb="29" eb="30">
      <t>ゴウ</t>
    </rPh>
    <rPh sb="32" eb="34">
      <t>タイオウ</t>
    </rPh>
    <rPh sb="36" eb="38">
      <t>クンレン</t>
    </rPh>
    <rPh sb="39" eb="41">
      <t>ジッシ</t>
    </rPh>
    <rPh sb="41" eb="43">
      <t>キカン</t>
    </rPh>
    <rPh sb="44" eb="46">
      <t>キサイ</t>
    </rPh>
    <phoneticPr fontId="2"/>
  </si>
  <si>
    <r>
      <rPr>
        <b/>
        <sz val="9"/>
        <rFont val="Meiryo UI"/>
        <family val="3"/>
        <charset val="128"/>
      </rPr>
      <t>７欄「契約期間」は</t>
    </r>
    <r>
      <rPr>
        <sz val="9"/>
        <rFont val="Meiryo UI"/>
        <family val="3"/>
        <charset val="128"/>
      </rPr>
      <t>、職業訓練実施計画届（様式第1-1号）と対応した定額制サービスの契約期間を記載してください。</t>
    </r>
    <rPh sb="1" eb="2">
      <t>ラン</t>
    </rPh>
    <rPh sb="3" eb="5">
      <t>ケイヤク</t>
    </rPh>
    <rPh sb="5" eb="7">
      <t>キカン</t>
    </rPh>
    <rPh sb="33" eb="36">
      <t>テイガクセイ</t>
    </rPh>
    <rPh sb="41" eb="43">
      <t>ケイヤク</t>
    </rPh>
    <rPh sb="43" eb="45">
      <t>キカン</t>
    </rPh>
    <phoneticPr fontId="2"/>
  </si>
  <si>
    <r>
      <t>８欄（１）は、</t>
    </r>
    <r>
      <rPr>
        <sz val="9"/>
        <rFont val="Meiryo UI"/>
        <family val="3"/>
        <charset val="128"/>
      </rPr>
      <t>契約者数（受講者数）及び契約期間に対応した金額を記載してください。</t>
    </r>
    <rPh sb="7" eb="9">
      <t>ケイヤク</t>
    </rPh>
    <rPh sb="9" eb="10">
      <t>シャ</t>
    </rPh>
    <rPh sb="10" eb="11">
      <t>スウ</t>
    </rPh>
    <rPh sb="12" eb="15">
      <t>ジュコウシャ</t>
    </rPh>
    <rPh sb="15" eb="16">
      <t>スウ</t>
    </rPh>
    <rPh sb="17" eb="18">
      <t>オヨ</t>
    </rPh>
    <rPh sb="19" eb="21">
      <t>ケイヤク</t>
    </rPh>
    <rPh sb="21" eb="23">
      <t>キカン</t>
    </rPh>
    <rPh sb="24" eb="26">
      <t>タイオウ</t>
    </rPh>
    <rPh sb="28" eb="30">
      <t>キンガク</t>
    </rPh>
    <rPh sb="31" eb="33">
      <t>キサイ</t>
    </rPh>
    <phoneticPr fontId="2"/>
  </si>
  <si>
    <r>
      <rPr>
        <b/>
        <sz val="9"/>
        <rFont val="Meiryo UI"/>
        <family val="3"/>
        <charset val="128"/>
      </rPr>
      <t>８欄（１）②「オプション料金」欄には</t>
    </r>
    <r>
      <rPr>
        <sz val="9"/>
        <rFont val="Meiryo UI"/>
        <family val="3"/>
        <charset val="128"/>
      </rPr>
      <t>、契約したオプション料金の名称、金額を記載してください。なお、オプション料金の申請にあたっては、以下の点にご留意ください。</t>
    </r>
    <rPh sb="1" eb="2">
      <t>ラン</t>
    </rPh>
    <rPh sb="12" eb="14">
      <t>リョウキン</t>
    </rPh>
    <rPh sb="15" eb="16">
      <t>ラン</t>
    </rPh>
    <rPh sb="19" eb="21">
      <t>ケイヤク</t>
    </rPh>
    <rPh sb="28" eb="30">
      <t>リョウキン</t>
    </rPh>
    <rPh sb="31" eb="33">
      <t>メイショウ</t>
    </rPh>
    <rPh sb="34" eb="36">
      <t>キンガク</t>
    </rPh>
    <rPh sb="54" eb="56">
      <t>リョウキン</t>
    </rPh>
    <rPh sb="57" eb="59">
      <t>シンセイ</t>
    </rPh>
    <rPh sb="66" eb="68">
      <t>イカ</t>
    </rPh>
    <rPh sb="69" eb="70">
      <t>テン</t>
    </rPh>
    <rPh sb="72" eb="74">
      <t>リュウイ</t>
    </rPh>
    <phoneticPr fontId="2"/>
  </si>
  <si>
    <t>・対象となるオプション料金は、初期設定費用、アカウント料、管理者ID付与料金、データ容量追加料金、科目追加料金が原則対象になります。ただし、被保険者以上のアカウント料、過度な管理者ＩＤ数、職務に関連しない追加科目など審査により対象にならない場合もあります。また、ルーター、タブレット等のレンタル料金、入力代行サービスなど直接訓練に関係のない経費は助成の対象外となります。</t>
    <phoneticPr fontId="2"/>
  </si>
  <si>
    <t>・追加科目が複数ある場合は科目名と単価がわかる資料を別途添付してください。</t>
    <phoneticPr fontId="2"/>
  </si>
  <si>
    <r>
      <rPr>
        <b/>
        <sz val="9"/>
        <rFont val="Meiryo UI"/>
        <family val="3"/>
        <charset val="128"/>
      </rPr>
      <t>５欄「契約者数(総受講者数)」とは</t>
    </r>
    <r>
      <rPr>
        <sz val="9"/>
        <rFont val="Meiryo UI"/>
        <family val="3"/>
        <charset val="128"/>
      </rPr>
      <t>、助成対象労働者以外の受講者を含めた、定額制サービスの契約者数のことをいいます。</t>
    </r>
    <phoneticPr fontId="2"/>
  </si>
  <si>
    <r>
      <rPr>
        <b/>
        <sz val="9"/>
        <rFont val="Meiryo UI"/>
        <family val="3"/>
        <charset val="128"/>
      </rPr>
      <t>９欄（２）</t>
    </r>
    <r>
      <rPr>
        <sz val="9"/>
        <rFont val="Meiryo UI"/>
        <family val="3"/>
        <charset val="128"/>
      </rPr>
      <t>上限額の算定について、訓練の実施期間の初日から１か月ごとの月数を記載してください。最後の月（期間）が１月に満たない場合は、その期間の初日から起算した訓練の実施期間の日数と、その期間の初日から起算した１か月の日数（歴日数）を乗じた月数を記入してください。
例えば、訓練の実施期間が2024年4月15日～2024年9月30日である場合、訓練の実施期間の日数は５か月（４月15日～９月14日）と16日（９月15日～９月30日）となり、９月15日からの１か月は30日であることから、上限額の計算は、「助成対象労働者数×(５月＋16日÷30日)×１人１か月あたりの上限額」となります。</t>
    </r>
    <rPh sb="1" eb="2">
      <t>ラン</t>
    </rPh>
    <rPh sb="5" eb="7">
      <t>ジョウゲン</t>
    </rPh>
    <rPh sb="7" eb="8">
      <t>ガク</t>
    </rPh>
    <rPh sb="9" eb="11">
      <t>サンテイ</t>
    </rPh>
    <rPh sb="16" eb="18">
      <t>クンレン</t>
    </rPh>
    <rPh sb="19" eb="21">
      <t>ジッシ</t>
    </rPh>
    <rPh sb="21" eb="23">
      <t>キカン</t>
    </rPh>
    <rPh sb="24" eb="26">
      <t>ショニチ</t>
    </rPh>
    <rPh sb="30" eb="31">
      <t>ゲツ</t>
    </rPh>
    <rPh sb="34" eb="36">
      <t>ツキスウ</t>
    </rPh>
    <rPh sb="37" eb="39">
      <t>キサイ</t>
    </rPh>
    <rPh sb="46" eb="48">
      <t>サイゴ</t>
    </rPh>
    <rPh sb="49" eb="50">
      <t>ツキ</t>
    </rPh>
    <rPh sb="51" eb="53">
      <t>キカン</t>
    </rPh>
    <rPh sb="56" eb="57">
      <t>ツキ</t>
    </rPh>
    <rPh sb="58" eb="59">
      <t>ミ</t>
    </rPh>
    <rPh sb="62" eb="64">
      <t>バアイ</t>
    </rPh>
    <rPh sb="68" eb="70">
      <t>キカン</t>
    </rPh>
    <rPh sb="71" eb="73">
      <t>ショニチ</t>
    </rPh>
    <rPh sb="75" eb="77">
      <t>キサン</t>
    </rPh>
    <rPh sb="79" eb="81">
      <t>クンレン</t>
    </rPh>
    <rPh sb="82" eb="84">
      <t>ジッシ</t>
    </rPh>
    <rPh sb="84" eb="86">
      <t>キカン</t>
    </rPh>
    <rPh sb="87" eb="89">
      <t>ニッスウ</t>
    </rPh>
    <rPh sb="93" eb="95">
      <t>キカン</t>
    </rPh>
    <rPh sb="96" eb="98">
      <t>ショニチ</t>
    </rPh>
    <rPh sb="100" eb="102">
      <t>キサン</t>
    </rPh>
    <rPh sb="106" eb="107">
      <t>ゲツ</t>
    </rPh>
    <rPh sb="108" eb="110">
      <t>ニッスウ</t>
    </rPh>
    <rPh sb="111" eb="112">
      <t>レキ</t>
    </rPh>
    <rPh sb="112" eb="114">
      <t>ニッスウ</t>
    </rPh>
    <rPh sb="116" eb="117">
      <t>ジョウ</t>
    </rPh>
    <rPh sb="119" eb="120">
      <t>ツキ</t>
    </rPh>
    <rPh sb="120" eb="121">
      <t>スウ</t>
    </rPh>
    <rPh sb="122" eb="124">
      <t>キニュウ</t>
    </rPh>
    <rPh sb="132" eb="133">
      <t>タト</t>
    </rPh>
    <rPh sb="136" eb="138">
      <t>クンレン</t>
    </rPh>
    <rPh sb="139" eb="143">
      <t>ジッシキカン</t>
    </rPh>
    <rPh sb="148" eb="149">
      <t>ネン</t>
    </rPh>
    <rPh sb="150" eb="151">
      <t>ガツ</t>
    </rPh>
    <rPh sb="153" eb="154">
      <t>ニチ</t>
    </rPh>
    <rPh sb="159" eb="160">
      <t>ネン</t>
    </rPh>
    <rPh sb="161" eb="162">
      <t>ガツ</t>
    </rPh>
    <rPh sb="164" eb="165">
      <t>ニチ</t>
    </rPh>
    <rPh sb="168" eb="170">
      <t>バアイ</t>
    </rPh>
    <rPh sb="171" eb="173">
      <t>クンレン</t>
    </rPh>
    <rPh sb="174" eb="178">
      <t>ジッシキカン</t>
    </rPh>
    <rPh sb="179" eb="181">
      <t>ニッスウ</t>
    </rPh>
    <rPh sb="184" eb="185">
      <t>ゲツ</t>
    </rPh>
    <rPh sb="187" eb="188">
      <t>ガツ</t>
    </rPh>
    <rPh sb="190" eb="191">
      <t>ニチ</t>
    </rPh>
    <rPh sb="193" eb="194">
      <t>ガツ</t>
    </rPh>
    <rPh sb="196" eb="197">
      <t>ニチ</t>
    </rPh>
    <rPh sb="201" eb="202">
      <t>ニチ</t>
    </rPh>
    <rPh sb="204" eb="205">
      <t>ガツ</t>
    </rPh>
    <rPh sb="207" eb="208">
      <t>ニチ</t>
    </rPh>
    <rPh sb="210" eb="211">
      <t>ガツ</t>
    </rPh>
    <rPh sb="213" eb="214">
      <t>ニチ</t>
    </rPh>
    <rPh sb="220" eb="221">
      <t>ガツ</t>
    </rPh>
    <rPh sb="223" eb="224">
      <t>ニチ</t>
    </rPh>
    <rPh sb="229" eb="230">
      <t>ゲツ</t>
    </rPh>
    <rPh sb="233" eb="234">
      <t>ニチ</t>
    </rPh>
    <rPh sb="242" eb="245">
      <t>ジョウゲンガク</t>
    </rPh>
    <rPh sb="246" eb="248">
      <t>ケイサン</t>
    </rPh>
    <rPh sb="251" eb="259">
      <t>ジョセイタイショウロウドウシャスウ</t>
    </rPh>
    <rPh sb="262" eb="263">
      <t>ガツ</t>
    </rPh>
    <rPh sb="266" eb="267">
      <t>ニチ</t>
    </rPh>
    <rPh sb="270" eb="271">
      <t>ニチ</t>
    </rPh>
    <rPh sb="274" eb="275">
      <t>ニン</t>
    </rPh>
    <rPh sb="277" eb="278">
      <t>ゲツ</t>
    </rPh>
    <rPh sb="282" eb="285">
      <t>ジョウゲンガク</t>
    </rPh>
    <phoneticPr fontId="2"/>
  </si>
  <si>
    <t>様式第6-3号（第２面）</t>
    <rPh sb="0" eb="2">
      <t>ヨウシキ</t>
    </rPh>
    <rPh sb="2" eb="3">
      <t>ダイ</t>
    </rPh>
    <rPh sb="6" eb="7">
      <t>ゴウ</t>
    </rPh>
    <rPh sb="8" eb="9">
      <t>ダイ</t>
    </rPh>
    <rPh sb="10" eb="11">
      <t>メン</t>
    </rPh>
    <phoneticPr fontId="2"/>
  </si>
  <si>
    <r>
      <rPr>
        <b/>
        <sz val="9"/>
        <rFont val="Meiryo UI"/>
        <family val="3"/>
        <charset val="128"/>
      </rPr>
      <t>８欄（１）②「基本利用料」</t>
    </r>
    <r>
      <rPr>
        <sz val="9"/>
        <rFont val="Meiryo UI"/>
        <family val="3"/>
        <charset val="128"/>
      </rPr>
      <t>とは、定額制サービスによる訓練を受講する</t>
    </r>
    <r>
      <rPr>
        <strike/>
        <sz val="9"/>
        <rFont val="Meiryo UI"/>
        <family val="3"/>
        <charset val="128"/>
      </rPr>
      <t>の</t>
    </r>
    <r>
      <rPr>
        <sz val="9"/>
        <rFont val="Meiryo UI"/>
        <family val="3"/>
        <charset val="128"/>
      </rPr>
      <t>ために必要となる人数から算出される金額です。</t>
    </r>
    <rPh sb="1" eb="2">
      <t>ラン</t>
    </rPh>
    <phoneticPr fontId="2"/>
  </si>
  <si>
    <r>
      <rPr>
        <b/>
        <sz val="9"/>
        <rFont val="Meiryo UI"/>
        <family val="3"/>
        <charset val="128"/>
      </rPr>
      <t>８欄（１）③「対象とならない経費」</t>
    </r>
    <r>
      <rPr>
        <sz val="9"/>
        <rFont val="Meiryo UI"/>
        <family val="3"/>
        <charset val="128"/>
      </rPr>
      <t>の金額を記載してください。対象とならない経費については、以下のような経費が該当します。</t>
    </r>
    <rPh sb="1" eb="2">
      <t>ラン</t>
    </rPh>
    <rPh sb="7" eb="9">
      <t>タイショウ</t>
    </rPh>
    <rPh sb="14" eb="16">
      <t>ケイヒ</t>
    </rPh>
    <rPh sb="18" eb="20">
      <t>キンガク</t>
    </rPh>
    <rPh sb="21" eb="23">
      <t>キサイ</t>
    </rPh>
    <rPh sb="30" eb="32">
      <t>タイショウ</t>
    </rPh>
    <rPh sb="37" eb="39">
      <t>ケイヒ</t>
    </rPh>
    <rPh sb="45" eb="47">
      <t>イカ</t>
    </rPh>
    <rPh sb="51" eb="53">
      <t>ケイヒ</t>
    </rPh>
    <rPh sb="54" eb="56">
      <t>ガイトウ</t>
    </rPh>
    <phoneticPr fontId="2"/>
  </si>
  <si>
    <r>
      <rPr>
        <b/>
        <sz val="9"/>
        <rFont val="Meiryo UI"/>
        <family val="3"/>
        <charset val="128"/>
      </rPr>
      <t>８欄（３）「申請事業主が負担した割合」</t>
    </r>
    <r>
      <rPr>
        <sz val="9"/>
        <rFont val="Meiryo UI"/>
        <family val="3"/>
        <charset val="128"/>
      </rPr>
      <t>について、定額制訓練及び事業展開等リスキリング支援コースの場合、100でない場合は対象となりません。また、自発的職業能力開発訓練の場合、50以上でない場合は対象となりません。</t>
    </r>
    <rPh sb="6" eb="8">
      <t>シンセイ</t>
    </rPh>
    <rPh sb="8" eb="11">
      <t>ジギョウヌシ</t>
    </rPh>
    <rPh sb="12" eb="14">
      <t>フタン</t>
    </rPh>
    <rPh sb="16" eb="18">
      <t>ワリアイ</t>
    </rPh>
    <rPh sb="24" eb="27">
      <t>テイガクセイ</t>
    </rPh>
    <rPh sb="27" eb="29">
      <t>クンレン</t>
    </rPh>
    <rPh sb="29" eb="30">
      <t>オヨ</t>
    </rPh>
    <rPh sb="31" eb="33">
      <t>ジギョウテン</t>
    </rPh>
    <rPh sb="33" eb="44">
      <t>カイトウリスキリングシエン</t>
    </rPh>
    <rPh sb="48" eb="50">
      <t>バアイ</t>
    </rPh>
    <rPh sb="57" eb="59">
      <t>バアイ</t>
    </rPh>
    <rPh sb="60" eb="62">
      <t>タイショウ</t>
    </rPh>
    <rPh sb="72" eb="83">
      <t>ジハツテキショクギョウノウリョクカイハツクンレン</t>
    </rPh>
    <rPh sb="84" eb="86">
      <t>バアイ</t>
    </rPh>
    <rPh sb="89" eb="91">
      <t>イジョウ</t>
    </rPh>
    <rPh sb="94" eb="96">
      <t>バアイ</t>
    </rPh>
    <rPh sb="97" eb="99">
      <t>タイショウ</t>
    </rPh>
    <phoneticPr fontId="2"/>
  </si>
  <si>
    <r>
      <t>※職業訓練実施計画届（様式第1-1号）に記載される</t>
    </r>
    <r>
      <rPr>
        <b/>
        <u/>
        <sz val="10"/>
        <color rgb="FFFF0000"/>
        <rFont val="Meiryo UI"/>
        <family val="3"/>
        <charset val="128"/>
      </rPr>
      <t>「訓練の実施期間」の最終日（契約期間の最終日）の翌日から起算して２か月以内</t>
    </r>
    <r>
      <rPr>
        <sz val="10"/>
        <rFont val="Meiryo UI"/>
        <family val="3"/>
        <charset val="128"/>
      </rPr>
      <t>に必要な書類を揃えて支給申請をしてください。
　また、訓練の実施期間内（契約期間内）に</t>
    </r>
    <r>
      <rPr>
        <b/>
        <u/>
        <sz val="10"/>
        <rFont val="Meiryo UI"/>
        <family val="3"/>
        <charset val="128"/>
      </rPr>
      <t>支給要件を満たし、必要な書類が提出できる場合</t>
    </r>
    <r>
      <rPr>
        <sz val="10"/>
        <rFont val="Meiryo UI"/>
        <family val="3"/>
        <charset val="128"/>
      </rPr>
      <t>は、</t>
    </r>
    <r>
      <rPr>
        <b/>
        <u/>
        <sz val="10"/>
        <rFont val="Meiryo UI"/>
        <family val="3"/>
        <charset val="128"/>
      </rPr>
      <t>訓練の実施期間中（契約期間中）であっても支給申請</t>
    </r>
    <r>
      <rPr>
        <sz val="10"/>
        <rFont val="Meiryo UI"/>
        <family val="3"/>
        <charset val="128"/>
      </rPr>
      <t>を行うことができます。ただし、この場合において、支給申請後、契約期間の終了日前に</t>
    </r>
    <r>
      <rPr>
        <b/>
        <u/>
        <sz val="10"/>
        <rFont val="Meiryo UI"/>
        <family val="3"/>
        <charset val="128"/>
      </rPr>
      <t>当該契約を解約した場合</t>
    </r>
    <r>
      <rPr>
        <sz val="10"/>
        <rFont val="Meiryo UI"/>
        <family val="3"/>
        <charset val="128"/>
      </rPr>
      <t>や、</t>
    </r>
    <r>
      <rPr>
        <b/>
        <u/>
        <sz val="10"/>
        <rFont val="Meiryo UI"/>
        <family val="3"/>
        <charset val="128"/>
      </rPr>
      <t>解約をしなかった場合であっても「職業訓練実施計画届」（様式第1-1号）に記載される「訓練の実施期間」の最終日まで、「職業訓練実施計画届」（様式第1-1号）又は「職業訓練実施計画変更届」（様式第2-1号）により届け出た教育訓練が継続されていなかった場合</t>
    </r>
    <r>
      <rPr>
        <sz val="10"/>
        <rFont val="Meiryo UI"/>
        <family val="3"/>
        <charset val="128"/>
      </rPr>
      <t>は、当該契約期間に係る契約額は助成対象経費とは認められず、</t>
    </r>
    <r>
      <rPr>
        <b/>
        <u/>
        <sz val="10"/>
        <rFont val="Meiryo UI"/>
        <family val="3"/>
        <charset val="128"/>
      </rPr>
      <t>支給決定の取り消し対象</t>
    </r>
    <r>
      <rPr>
        <sz val="10"/>
        <rFont val="Meiryo UI"/>
        <family val="3"/>
        <charset val="128"/>
      </rPr>
      <t>となります。</t>
    </r>
    <rPh sb="1" eb="3">
      <t>ショクギョウ</t>
    </rPh>
    <rPh sb="3" eb="5">
      <t>クンレン</t>
    </rPh>
    <rPh sb="5" eb="7">
      <t>ジッシ</t>
    </rPh>
    <rPh sb="7" eb="9">
      <t>ケイカク</t>
    </rPh>
    <rPh sb="9" eb="10">
      <t>トドケ</t>
    </rPh>
    <rPh sb="11" eb="13">
      <t>ヨウシキ</t>
    </rPh>
    <rPh sb="13" eb="14">
      <t>ダイ</t>
    </rPh>
    <rPh sb="17" eb="18">
      <t>ゴウ</t>
    </rPh>
    <rPh sb="20" eb="22">
      <t>キサイ</t>
    </rPh>
    <rPh sb="26" eb="28">
      <t>クンレン</t>
    </rPh>
    <rPh sb="29" eb="31">
      <t>ジッシ</t>
    </rPh>
    <rPh sb="31" eb="33">
      <t>キカン</t>
    </rPh>
    <rPh sb="35" eb="38">
      <t>サイシュウビ</t>
    </rPh>
    <rPh sb="39" eb="41">
      <t>ケイヤク</t>
    </rPh>
    <rPh sb="41" eb="43">
      <t>キカン</t>
    </rPh>
    <rPh sb="44" eb="46">
      <t>サイシュウ</t>
    </rPh>
    <rPh sb="46" eb="47">
      <t>ヒ</t>
    </rPh>
    <rPh sb="49" eb="51">
      <t>ヨクジツ</t>
    </rPh>
    <rPh sb="53" eb="55">
      <t>キサン</t>
    </rPh>
    <rPh sb="59" eb="60">
      <t>ゲツ</t>
    </rPh>
    <rPh sb="60" eb="62">
      <t>イナイ</t>
    </rPh>
    <rPh sb="63" eb="65">
      <t>ヒツヨウ</t>
    </rPh>
    <rPh sb="66" eb="68">
      <t>ショルイ</t>
    </rPh>
    <rPh sb="69" eb="70">
      <t>ソロ</t>
    </rPh>
    <rPh sb="72" eb="74">
      <t>シキュウ</t>
    </rPh>
    <rPh sb="74" eb="76">
      <t>シンセイ</t>
    </rPh>
    <rPh sb="89" eb="91">
      <t>クンレン</t>
    </rPh>
    <rPh sb="92" eb="94">
      <t>ジッシ</t>
    </rPh>
    <rPh sb="94" eb="96">
      <t>キカン</t>
    </rPh>
    <rPh sb="96" eb="97">
      <t>ナイ</t>
    </rPh>
    <rPh sb="98" eb="100">
      <t>ケイヤク</t>
    </rPh>
    <rPh sb="100" eb="102">
      <t>キカン</t>
    </rPh>
    <rPh sb="102" eb="103">
      <t>ナイ</t>
    </rPh>
    <rPh sb="105" eb="107">
      <t>シキュウ</t>
    </rPh>
    <rPh sb="107" eb="109">
      <t>ヨウケン</t>
    </rPh>
    <rPh sb="110" eb="111">
      <t>ミ</t>
    </rPh>
    <rPh sb="114" eb="116">
      <t>ヒツヨウ</t>
    </rPh>
    <rPh sb="117" eb="119">
      <t>ショルイ</t>
    </rPh>
    <rPh sb="120" eb="122">
      <t>テイシュツ</t>
    </rPh>
    <rPh sb="125" eb="127">
      <t>バアイ</t>
    </rPh>
    <rPh sb="129" eb="131">
      <t>クンレン</t>
    </rPh>
    <rPh sb="132" eb="134">
      <t>ジッシ</t>
    </rPh>
    <rPh sb="134" eb="136">
      <t>キカン</t>
    </rPh>
    <rPh sb="136" eb="137">
      <t>ナカ</t>
    </rPh>
    <rPh sb="138" eb="140">
      <t>ケイヤク</t>
    </rPh>
    <rPh sb="140" eb="143">
      <t>キカンチュウ</t>
    </rPh>
    <rPh sb="149" eb="151">
      <t>シキュウ</t>
    </rPh>
    <rPh sb="151" eb="153">
      <t>シンセイ</t>
    </rPh>
    <rPh sb="154" eb="155">
      <t>オコナ</t>
    </rPh>
    <rPh sb="170" eb="172">
      <t>バアイ</t>
    </rPh>
    <rPh sb="177" eb="179">
      <t>シキュウ</t>
    </rPh>
    <rPh sb="179" eb="181">
      <t>シンセイ</t>
    </rPh>
    <rPh sb="181" eb="182">
      <t>アト</t>
    </rPh>
    <rPh sb="183" eb="185">
      <t>ケイヤク</t>
    </rPh>
    <rPh sb="185" eb="187">
      <t>キカン</t>
    </rPh>
    <rPh sb="188" eb="190">
      <t>シュウリョウ</t>
    </rPh>
    <rPh sb="190" eb="191">
      <t>ヒ</t>
    </rPh>
    <rPh sb="191" eb="192">
      <t>マエ</t>
    </rPh>
    <rPh sb="230" eb="231">
      <t>トド</t>
    </rPh>
    <rPh sb="264" eb="266">
      <t>ショクギョウ</t>
    </rPh>
    <rPh sb="286" eb="288">
      <t>ショクギョウ</t>
    </rPh>
    <rPh sb="299" eb="301">
      <t>ヨウシキ</t>
    </rPh>
    <rPh sb="301" eb="302">
      <t>ダイ</t>
    </rPh>
    <rPh sb="305" eb="306">
      <t>ゴウ</t>
    </rPh>
    <rPh sb="360" eb="362">
      <t>シキュウ</t>
    </rPh>
    <rPh sb="362" eb="364">
      <t>ケッテイ</t>
    </rPh>
    <rPh sb="365" eb="366">
      <t>ト</t>
    </rPh>
    <rPh sb="367" eb="368">
      <t>ケ</t>
    </rPh>
    <rPh sb="369" eb="371">
      <t>タイショウ</t>
    </rPh>
    <phoneticPr fontId="2"/>
  </si>
  <si>
    <t>事業展開等リスキリング支援コース
(企業内の人事及び人材育成に関する計画に基づき実施する訓練を除く)</t>
    <rPh sb="24" eb="25">
      <t>オヨ</t>
    </rPh>
    <rPh sb="47" eb="48">
      <t>ノゾ</t>
    </rPh>
    <phoneticPr fontId="2"/>
  </si>
  <si>
    <t>契約期間の途中で、対象労働者数の変更があった場合には、契約変更前の期間及び契約変更後の期間それぞれにおいて様式６－３号を作成してください。</t>
    <rPh sb="0" eb="2">
      <t>ケイヤク</t>
    </rPh>
    <rPh sb="2" eb="4">
      <t>キカン</t>
    </rPh>
    <rPh sb="5" eb="7">
      <t>トチュウ</t>
    </rPh>
    <rPh sb="9" eb="11">
      <t>タイショウ</t>
    </rPh>
    <rPh sb="11" eb="14">
      <t>ロウドウシャ</t>
    </rPh>
    <rPh sb="14" eb="15">
      <t>スウ</t>
    </rPh>
    <rPh sb="16" eb="18">
      <t>ヘンコウ</t>
    </rPh>
    <rPh sb="22" eb="24">
      <t>バアイ</t>
    </rPh>
    <rPh sb="27" eb="29">
      <t>ケイヤク</t>
    </rPh>
    <rPh sb="29" eb="31">
      <t>ヘンコウ</t>
    </rPh>
    <rPh sb="31" eb="32">
      <t>マエ</t>
    </rPh>
    <rPh sb="33" eb="35">
      <t>キカン</t>
    </rPh>
    <rPh sb="35" eb="36">
      <t>オヨ</t>
    </rPh>
    <rPh sb="37" eb="39">
      <t>ケイヤク</t>
    </rPh>
    <rPh sb="39" eb="42">
      <t>ヘンコウゴ</t>
    </rPh>
    <rPh sb="43" eb="45">
      <t>キカン</t>
    </rPh>
    <rPh sb="53" eb="55">
      <t>ヨウシキ</t>
    </rPh>
    <rPh sb="58" eb="59">
      <t>ゴウ</t>
    </rPh>
    <rPh sb="60" eb="62">
      <t>サクセイ</t>
    </rPh>
    <phoneticPr fontId="2"/>
  </si>
  <si>
    <t xml:space="preserve">15　契約変更前の期間及び契約変更後の期間それぞれについて、様式６－３号を作成する場合、契約変更前の期間については、４欄「支給対象労働者数」は「契約変更前の契約者数のうちの支給対象労働者数」、
　　　６欄「訓練実施期間（上限１年）」は「契約変更前の訓練の実施期間」と読み替えてください。契約変更後の期間については、４欄「支給対象労働者数」は「契約変更後の契約者数のうちの支給対象労働者数」、
　　　６欄「訓練実施期間（上限１年）」は「契約変更後の訓練の実施期間」と読み替えてください。
</t>
    <rPh sb="35" eb="36">
      <t>ゴウ</t>
    </rPh>
    <rPh sb="44" eb="46">
      <t>ケイヤク</t>
    </rPh>
    <rPh sb="46" eb="49">
      <t>ヘンコウマエ</t>
    </rPh>
    <rPh sb="50" eb="52">
      <t>キカン</t>
    </rPh>
    <rPh sb="101" eb="102">
      <t>ラン</t>
    </rPh>
    <rPh sb="103" eb="105">
      <t>クンレン</t>
    </rPh>
    <rPh sb="107" eb="109">
      <t>キカン</t>
    </rPh>
    <rPh sb="110" eb="112">
      <t>ジョウゲン</t>
    </rPh>
    <rPh sb="113" eb="114">
      <t>ネン</t>
    </rPh>
    <rPh sb="118" eb="120">
      <t>ケイヤク</t>
    </rPh>
    <rPh sb="120" eb="123">
      <t>ヘンコウマエ</t>
    </rPh>
    <rPh sb="124" eb="126">
      <t>クンレン</t>
    </rPh>
    <rPh sb="127" eb="129">
      <t>ジッシ</t>
    </rPh>
    <rPh sb="129" eb="131">
      <t>キカン</t>
    </rPh>
    <rPh sb="133" eb="134">
      <t>ヨ</t>
    </rPh>
    <rPh sb="135" eb="136">
      <t>カ</t>
    </rPh>
    <rPh sb="143" eb="145">
      <t>ケイヤク</t>
    </rPh>
    <rPh sb="145" eb="148">
      <t>ヘンコウゴ</t>
    </rPh>
    <rPh sb="149" eb="151">
      <t>キカン</t>
    </rPh>
    <rPh sb="175" eb="176">
      <t>ゴ</t>
    </rPh>
    <rPh sb="221" eb="222">
      <t>ゴ</t>
    </rPh>
    <phoneticPr fontId="2"/>
  </si>
  <si>
    <t>　支給対象労働者数</t>
    <rPh sb="1" eb="3">
      <t>シキュウ</t>
    </rPh>
    <rPh sb="3" eb="5">
      <t>タイショウ</t>
    </rPh>
    <rPh sb="5" eb="8">
      <t>ロウドウシャ</t>
    </rPh>
    <rPh sb="8" eb="9">
      <t>スウ</t>
    </rPh>
    <phoneticPr fontId="2"/>
  </si>
  <si>
    <t>４欄「支給対象労働者数」</t>
    <rPh sb="1" eb="2">
      <t>ラン</t>
    </rPh>
    <rPh sb="3" eb="5">
      <t>シキュウ</t>
    </rPh>
    <rPh sb="5" eb="7">
      <t>タイショウ</t>
    </rPh>
    <rPh sb="7" eb="10">
      <t>ロウドウシャ</t>
    </rPh>
    <rPh sb="10" eb="11">
      <t>スウ</t>
    </rPh>
    <phoneticPr fontId="2"/>
  </si>
  <si>
    <t>4欄「支給対象労働者数」</t>
    <rPh sb="1" eb="2">
      <t>ラン</t>
    </rPh>
    <rPh sb="3" eb="5">
      <t>シキュウ</t>
    </rPh>
    <rPh sb="5" eb="7">
      <t>タイショウ</t>
    </rPh>
    <rPh sb="7" eb="10">
      <t>ロウドウシャ</t>
    </rPh>
    <rPh sb="10" eb="11">
      <t>スウ</t>
    </rPh>
    <phoneticPr fontId="2"/>
  </si>
  <si>
    <r>
      <rPr>
        <b/>
        <sz val="9"/>
        <color theme="1"/>
        <rFont val="Meiryo UI"/>
        <family val="3"/>
        <charset val="128"/>
      </rPr>
      <t>４欄「支給対象労働者数」には</t>
    </r>
    <r>
      <rPr>
        <sz val="9"/>
        <color theme="1"/>
        <rFont val="Meiryo UI"/>
        <family val="3"/>
        <charset val="128"/>
      </rPr>
      <t>、教育訓練機関が発行する、受講時間が10時間以上である者の一覧表に記載されている受講者の人数を記載してください。</t>
    </r>
    <rPh sb="3" eb="5">
      <t>シキュウ</t>
    </rPh>
    <phoneticPr fontId="2"/>
  </si>
  <si>
    <t>様式第6-3号（第１面）（R8.4）</t>
    <rPh sb="0" eb="2">
      <t>ヨウシキ</t>
    </rPh>
    <rPh sb="6" eb="7">
      <t>ゴウ</t>
    </rPh>
    <rPh sb="8" eb="9">
      <t>ダイ</t>
    </rPh>
    <rPh sb="10" eb="11">
      <t>メン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</si>
</sst>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yyyy/m/d;@"/>
    <numFmt numFmtId="178" formatCode="0_);[Red]\(0\)"/>
  </numFmts>
  <fonts count="32">
    <font>
      <sz val="11"/>
      <name val="ＭＳ Ｐゴシック"/>
      <family val="3"/>
      <charset val="128"/>
    </font>
    <font>
      <sz val="11"/>
      <name val="ＭＳ Ｐゴシック"/>
      <family val="3"/>
      <charset val="128"/>
    </font>
    <font>
      <sz val="6"/>
      <name val="ＭＳ Ｐゴシック"/>
      <family val="3"/>
      <charset val="128"/>
    </font>
    <font>
      <sz val="9"/>
      <name val="Meiryo UI"/>
      <family val="3"/>
      <charset val="128"/>
    </font>
    <font>
      <sz val="9"/>
      <color rgb="FFFF0000"/>
      <name val="Meiryo UI"/>
      <family val="3"/>
      <charset val="128"/>
    </font>
    <font>
      <sz val="12"/>
      <name val="Meiryo UI"/>
      <family val="3"/>
      <charset val="128"/>
    </font>
    <font>
      <sz val="10"/>
      <name val="Meiryo UI"/>
      <family val="3"/>
      <charset val="128"/>
    </font>
    <font>
      <sz val="8"/>
      <name val="Meiryo UI"/>
      <family val="3"/>
      <charset val="128"/>
    </font>
    <font>
      <sz val="11"/>
      <name val="Meiryo UI"/>
      <family val="3"/>
      <charset val="128"/>
    </font>
    <font>
      <sz val="11"/>
      <color rgb="FFFF0000"/>
      <name val="Meiryo UI"/>
      <family val="3"/>
      <charset val="128"/>
    </font>
    <font>
      <sz val="16"/>
      <name val="Meiryo UI"/>
      <family val="3"/>
      <charset val="128"/>
    </font>
    <font>
      <b/>
      <sz val="12"/>
      <name val="Meiryo UI"/>
      <family val="3"/>
      <charset val="128"/>
    </font>
    <font>
      <b/>
      <sz val="9"/>
      <name val="Meiryo UI"/>
      <family val="3"/>
      <charset val="128"/>
    </font>
    <font>
      <b/>
      <sz val="10"/>
      <name val="Meiryo UI"/>
      <family val="3"/>
      <charset val="128"/>
    </font>
    <font>
      <b/>
      <sz val="13"/>
      <name val="Meiryo UI"/>
      <family val="3"/>
      <charset val="128"/>
    </font>
    <font>
      <b/>
      <u/>
      <sz val="10"/>
      <name val="Meiryo UI"/>
      <family val="3"/>
      <charset val="128"/>
    </font>
    <font>
      <b/>
      <u/>
      <sz val="10"/>
      <color rgb="FFFF0000"/>
      <name val="Meiryo UI"/>
      <family val="3"/>
      <charset val="128"/>
    </font>
    <font>
      <b/>
      <sz val="8"/>
      <name val="Meiryo UI"/>
      <family val="3"/>
      <charset val="128"/>
    </font>
    <font>
      <sz val="9"/>
      <color rgb="FF00B050"/>
      <name val="Meiryo UI"/>
      <family val="3"/>
      <charset val="128"/>
    </font>
    <font>
      <sz val="14"/>
      <name val="Meiryo UI"/>
      <family val="3"/>
      <charset val="128"/>
    </font>
    <font>
      <b/>
      <sz val="14"/>
      <name val="Meiryo UI"/>
      <family val="3"/>
      <charset val="128"/>
    </font>
    <font>
      <sz val="10"/>
      <name val="Meiryo UI"/>
      <family val="3"/>
      <charset val="128"/>
    </font>
    <font>
      <sz val="18"/>
      <name val="Meiryo UI"/>
      <family val="3"/>
      <charset val="128"/>
    </font>
    <font>
      <b/>
      <i/>
      <sz val="10"/>
      <name val="Meiryo UI"/>
      <family val="3"/>
      <charset val="128"/>
    </font>
    <font>
      <sz val="10"/>
      <color rgb="FFFF0000"/>
      <name val="Meiryo UI"/>
      <family val="3"/>
      <charset val="128"/>
    </font>
    <font>
      <b/>
      <sz val="16"/>
      <name val="Meiryo UI"/>
      <family val="3"/>
      <charset val="128"/>
    </font>
    <font>
      <strike/>
      <sz val="9"/>
      <name val="Meiryo UI"/>
      <family val="3"/>
      <charset val="128"/>
    </font>
    <font>
      <sz val="10"/>
      <color theme="1"/>
      <name val="Meiryo UI"/>
      <family val="3"/>
      <charset val="128"/>
    </font>
    <font>
      <sz val="12"/>
      <color theme="1"/>
      <name val="Meiryo UI"/>
      <family val="3"/>
      <charset val="128"/>
    </font>
    <font>
      <b/>
      <sz val="10"/>
      <color theme="1"/>
      <name val="Meiryo UI"/>
      <family val="3"/>
      <charset val="128"/>
    </font>
    <font>
      <sz val="9"/>
      <color theme="1"/>
      <name val="Meiryo UI"/>
      <family val="3"/>
      <charset val="128"/>
    </font>
    <font>
      <b/>
      <sz val="9"/>
      <color theme="1"/>
      <name val="Meiryo UI"/>
      <family val="3"/>
      <charset val="128"/>
    </font>
  </fonts>
  <fills count="11">
    <fill>
      <patternFill patternType="none"/>
    </fill>
    <fill>
      <patternFill patternType="gray125"/>
    </fill>
    <fill>
      <patternFill patternType="solid">
        <fgColor theme="0" tint="-4.9989318521683403E-2"/>
        <bgColor indexed="64"/>
      </patternFill>
    </fill>
    <fill>
      <patternFill patternType="solid">
        <fgColor theme="6" tint="0.79998168889431442"/>
        <bgColor indexed="64"/>
      </patternFill>
    </fill>
    <fill>
      <patternFill patternType="solid">
        <fgColor rgb="FFFFFFCC"/>
        <bgColor indexed="64"/>
      </patternFill>
    </fill>
    <fill>
      <patternFill patternType="solid">
        <fgColor rgb="FFFCD5B5"/>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7" tint="0.79998168889431442"/>
        <bgColor indexed="64"/>
      </patternFill>
    </fill>
  </fills>
  <borders count="74">
    <border>
      <left/>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dashed">
        <color indexed="64"/>
      </top>
      <bottom/>
      <diagonal/>
    </border>
    <border>
      <left/>
      <right/>
      <top/>
      <bottom style="medium">
        <color indexed="64"/>
      </bottom>
      <diagonal/>
    </border>
    <border>
      <left/>
      <right/>
      <top style="medium">
        <color indexed="64"/>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dashed">
        <color indexed="64"/>
      </bottom>
      <diagonal/>
    </border>
    <border>
      <left/>
      <right style="medium">
        <color indexed="64"/>
      </right>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top style="thin">
        <color indexed="64"/>
      </top>
      <bottom style="hair">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bottom/>
      <diagonal/>
    </border>
    <border>
      <left/>
      <right style="thin">
        <color indexed="64"/>
      </right>
      <top/>
      <bottom/>
      <diagonal/>
    </border>
    <border>
      <left/>
      <right style="hair">
        <color indexed="64"/>
      </right>
      <top style="medium">
        <color indexed="64"/>
      </top>
      <bottom style="thin">
        <color indexed="64"/>
      </bottom>
      <diagonal/>
    </border>
    <border>
      <left style="dashed">
        <color indexed="64"/>
      </left>
      <right/>
      <top/>
      <bottom/>
      <diagonal/>
    </border>
    <border>
      <left style="dashed">
        <color auto="1"/>
      </left>
      <right/>
      <top style="dashed">
        <color auto="1"/>
      </top>
      <bottom/>
      <diagonal/>
    </border>
    <border>
      <left/>
      <right style="dashed">
        <color auto="1"/>
      </right>
      <top style="dashed">
        <color auto="1"/>
      </top>
      <bottom/>
      <diagonal/>
    </border>
    <border>
      <left/>
      <right style="dashed">
        <color auto="1"/>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medium">
        <color rgb="FF000000"/>
      </top>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medium">
        <color rgb="FF000000"/>
      </right>
      <top style="thin">
        <color rgb="FF000000"/>
      </top>
      <bottom/>
      <diagonal/>
    </border>
    <border>
      <left style="thin">
        <color rgb="FF000000"/>
      </left>
      <right/>
      <top/>
      <bottom/>
      <diagonal/>
    </border>
    <border>
      <left/>
      <right style="medium">
        <color rgb="FF000000"/>
      </right>
      <top/>
      <bottom/>
      <diagonal/>
    </border>
    <border>
      <left style="thin">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dotted">
        <color indexed="64"/>
      </left>
      <right/>
      <top style="thin">
        <color indexed="64"/>
      </top>
      <bottom style="thin">
        <color indexed="64"/>
      </bottom>
      <diagonal/>
    </border>
  </borders>
  <cellStyleXfs count="5">
    <xf numFmtId="0" fontId="0" fillId="0" borderId="0"/>
    <xf numFmtId="0" fontId="1" fillId="0" borderId="0">
      <alignment vertical="center"/>
    </xf>
    <xf numFmtId="0" fontId="1" fillId="0" borderId="0">
      <alignment vertical="center"/>
    </xf>
    <xf numFmtId="0" fontId="1" fillId="0" borderId="0"/>
    <xf numFmtId="38" fontId="1" fillId="0" borderId="0" applyFont="0" applyFill="0" applyBorder="0" applyAlignment="0" applyProtection="0">
      <alignment vertical="center"/>
    </xf>
  </cellStyleXfs>
  <cellXfs count="342">
    <xf numFmtId="0" fontId="0" fillId="0" borderId="0" xfId="0"/>
    <xf numFmtId="0" fontId="28" fillId="0" borderId="0" xfId="2" applyFont="1">
      <alignment vertical="center"/>
    </xf>
    <xf numFmtId="0" fontId="3" fillId="0" borderId="0" xfId="2" applyFont="1">
      <alignment vertical="center"/>
    </xf>
    <xf numFmtId="0" fontId="3" fillId="0" borderId="0" xfId="2" applyFont="1" applyAlignment="1">
      <alignment horizontal="right" vertical="center"/>
    </xf>
    <xf numFmtId="49" fontId="13" fillId="2" borderId="16" xfId="0" applyNumberFormat="1" applyFont="1" applyFill="1" applyBorder="1" applyAlignment="1">
      <alignment horizontal="center" vertical="center" wrapText="1"/>
    </xf>
    <xf numFmtId="0" fontId="6" fillId="3" borderId="12" xfId="0" applyFont="1" applyFill="1" applyBorder="1" applyAlignment="1">
      <alignment vertical="center" wrapText="1"/>
    </xf>
    <xf numFmtId="0" fontId="6" fillId="7" borderId="21" xfId="0" applyFont="1" applyFill="1" applyBorder="1" applyAlignment="1">
      <alignment vertical="center" wrapText="1"/>
    </xf>
    <xf numFmtId="0" fontId="6" fillId="8" borderId="12" xfId="0" applyFont="1" applyFill="1" applyBorder="1" applyAlignment="1">
      <alignment vertical="center" wrapText="1"/>
    </xf>
    <xf numFmtId="0" fontId="6" fillId="0" borderId="0" xfId="0" applyFont="1" applyAlignment="1">
      <alignment vertical="center" wrapText="1"/>
    </xf>
    <xf numFmtId="0" fontId="6" fillId="10" borderId="0" xfId="0" applyFont="1" applyFill="1" applyAlignment="1">
      <alignment vertical="center" wrapText="1"/>
    </xf>
    <xf numFmtId="0" fontId="6" fillId="0" borderId="0" xfId="0" applyFont="1" applyAlignment="1">
      <alignment vertical="center"/>
    </xf>
    <xf numFmtId="0" fontId="13" fillId="2" borderId="25" xfId="2" applyFont="1" applyFill="1" applyBorder="1" applyAlignment="1">
      <alignment horizontal="center" vertical="center" wrapText="1"/>
    </xf>
    <xf numFmtId="0" fontId="13" fillId="2" borderId="3" xfId="2" applyFont="1" applyFill="1" applyBorder="1" applyAlignment="1">
      <alignment horizontal="center" vertical="center"/>
    </xf>
    <xf numFmtId="0" fontId="6" fillId="0" borderId="0" xfId="0" applyFont="1" applyAlignment="1">
      <alignment horizontal="left" vertical="center" wrapText="1"/>
    </xf>
    <xf numFmtId="0" fontId="6" fillId="0" borderId="57" xfId="0" applyFont="1" applyBorder="1" applyAlignment="1">
      <alignment vertical="center"/>
    </xf>
    <xf numFmtId="0" fontId="6" fillId="0" borderId="62" xfId="0" applyFont="1" applyBorder="1" applyAlignment="1">
      <alignment horizontal="center" vertical="center"/>
    </xf>
    <xf numFmtId="49" fontId="3" fillId="0" borderId="0" xfId="2" applyNumberFormat="1" applyFont="1" applyAlignment="1">
      <alignment horizontal="center" vertical="center"/>
    </xf>
    <xf numFmtId="0" fontId="22" fillId="0" borderId="0" xfId="0" applyFont="1" applyAlignment="1">
      <alignment vertical="center"/>
    </xf>
    <xf numFmtId="0" fontId="13" fillId="2" borderId="25" xfId="2" applyFont="1" applyFill="1" applyBorder="1" applyAlignment="1">
      <alignment horizontal="center" vertical="center"/>
    </xf>
    <xf numFmtId="0" fontId="3" fillId="0" borderId="57" xfId="2" applyFont="1" applyBorder="1">
      <alignment vertical="center"/>
    </xf>
    <xf numFmtId="177" fontId="3" fillId="0" borderId="3" xfId="2" applyNumberFormat="1" applyFont="1" applyBorder="1" applyAlignment="1">
      <alignment horizontal="center" vertical="center"/>
    </xf>
    <xf numFmtId="0" fontId="3" fillId="0" borderId="73" xfId="2" applyFont="1" applyBorder="1" applyAlignment="1">
      <alignment horizontal="center" vertical="center"/>
    </xf>
    <xf numFmtId="0" fontId="3" fillId="0" borderId="62" xfId="2" applyFont="1" applyBorder="1" applyAlignment="1">
      <alignment horizontal="center" vertical="center" wrapText="1"/>
    </xf>
    <xf numFmtId="0" fontId="3" fillId="0" borderId="61" xfId="2" applyFont="1" applyBorder="1" applyAlignment="1">
      <alignment horizontal="center" vertical="center"/>
    </xf>
    <xf numFmtId="0" fontId="3" fillId="0" borderId="62" xfId="2" applyFont="1" applyBorder="1" applyAlignment="1">
      <alignment horizontal="center" vertical="center"/>
    </xf>
    <xf numFmtId="0" fontId="3" fillId="0" borderId="8" xfId="2" applyFont="1" applyBorder="1" applyAlignment="1">
      <alignment horizontal="center" vertical="center"/>
    </xf>
    <xf numFmtId="0" fontId="3" fillId="0" borderId="57" xfId="2" applyFont="1" applyBorder="1" applyAlignment="1">
      <alignment horizontal="center" vertical="center" wrapText="1"/>
    </xf>
    <xf numFmtId="14" fontId="3" fillId="0" borderId="0" xfId="2" applyNumberFormat="1" applyFont="1" applyAlignment="1">
      <alignment horizontal="center" vertical="center"/>
    </xf>
    <xf numFmtId="0" fontId="22" fillId="0" borderId="0" xfId="2" applyFont="1">
      <alignment vertical="center"/>
    </xf>
    <xf numFmtId="0" fontId="19" fillId="0" borderId="1" xfId="2" applyFont="1" applyBorder="1" applyAlignment="1">
      <alignment horizontal="left" vertical="center" shrinkToFit="1"/>
    </xf>
    <xf numFmtId="0" fontId="19" fillId="0" borderId="26" xfId="2" applyFont="1" applyBorder="1" applyAlignment="1">
      <alignment horizontal="left" vertical="center" shrinkToFit="1"/>
    </xf>
    <xf numFmtId="14" fontId="3" fillId="0" borderId="73" xfId="2" applyNumberFormat="1" applyFont="1" applyBorder="1" applyAlignment="1">
      <alignment horizontal="center" vertical="center"/>
    </xf>
    <xf numFmtId="178" fontId="3" fillId="0" borderId="62" xfId="2" applyNumberFormat="1" applyFont="1" applyBorder="1">
      <alignment vertical="center"/>
    </xf>
    <xf numFmtId="178" fontId="3" fillId="0" borderId="61" xfId="2" applyNumberFormat="1" applyFont="1" applyBorder="1" applyAlignment="1">
      <alignment horizontal="center" vertical="center"/>
    </xf>
    <xf numFmtId="178" fontId="3" fillId="0" borderId="62" xfId="2" applyNumberFormat="1" applyFont="1" applyBorder="1" applyAlignment="1">
      <alignment horizontal="center" vertical="center"/>
    </xf>
    <xf numFmtId="178" fontId="4" fillId="0" borderId="8" xfId="2" applyNumberFormat="1" applyFont="1" applyBorder="1" applyAlignment="1">
      <alignment horizontal="center" vertical="center"/>
    </xf>
    <xf numFmtId="178" fontId="3" fillId="0" borderId="57" xfId="2" applyNumberFormat="1" applyFont="1" applyBorder="1" applyAlignment="1">
      <alignment horizontal="center" vertical="center"/>
    </xf>
    <xf numFmtId="0" fontId="3" fillId="0" borderId="2" xfId="2" applyFont="1" applyBorder="1" applyAlignment="1">
      <alignment horizontal="center" vertical="center"/>
    </xf>
    <xf numFmtId="178" fontId="3" fillId="0" borderId="2" xfId="2" applyNumberFormat="1" applyFont="1" applyBorder="1" applyAlignment="1">
      <alignment horizontal="center" vertical="center"/>
    </xf>
    <xf numFmtId="0" fontId="3" fillId="0" borderId="0" xfId="2" applyFont="1" applyAlignment="1">
      <alignment horizontal="center" vertical="center"/>
    </xf>
    <xf numFmtId="0" fontId="13" fillId="2" borderId="31" xfId="2" applyFont="1" applyFill="1" applyBorder="1" applyAlignment="1">
      <alignment horizontal="center" vertical="center"/>
    </xf>
    <xf numFmtId="0" fontId="13" fillId="2" borderId="28" xfId="2" applyFont="1" applyFill="1" applyBorder="1">
      <alignment vertical="center"/>
    </xf>
    <xf numFmtId="0" fontId="5" fillId="2" borderId="28" xfId="2" applyFont="1" applyFill="1" applyBorder="1">
      <alignment vertical="center"/>
    </xf>
    <xf numFmtId="0" fontId="6" fillId="2" borderId="28" xfId="2" applyFont="1" applyFill="1" applyBorder="1">
      <alignment vertical="center"/>
    </xf>
    <xf numFmtId="0" fontId="7" fillId="2" borderId="28" xfId="2" applyFont="1" applyFill="1" applyBorder="1">
      <alignment vertical="center"/>
    </xf>
    <xf numFmtId="0" fontId="3" fillId="2" borderId="28" xfId="2" applyFont="1" applyFill="1" applyBorder="1" applyAlignment="1"/>
    <xf numFmtId="0" fontId="5" fillId="2" borderId="32" xfId="2" applyFont="1" applyFill="1" applyBorder="1">
      <alignment vertical="center"/>
    </xf>
    <xf numFmtId="0" fontId="13" fillId="0" borderId="27" xfId="2" applyFont="1" applyBorder="1" applyAlignment="1">
      <alignment horizontal="center" vertical="center"/>
    </xf>
    <xf numFmtId="0" fontId="13" fillId="0" borderId="0" xfId="2" applyFont="1" applyAlignment="1">
      <alignment horizontal="left" vertical="center"/>
    </xf>
    <xf numFmtId="0" fontId="13" fillId="0" borderId="0" xfId="2" applyFont="1">
      <alignment vertical="center"/>
    </xf>
    <xf numFmtId="0" fontId="5" fillId="0" borderId="0" xfId="2" applyFont="1">
      <alignment vertical="center"/>
    </xf>
    <xf numFmtId="0" fontId="6" fillId="0" borderId="0" xfId="2" applyFont="1">
      <alignment vertical="center"/>
    </xf>
    <xf numFmtId="0" fontId="7" fillId="0" borderId="0" xfId="2" applyFont="1">
      <alignment vertical="center"/>
    </xf>
    <xf numFmtId="0" fontId="3" fillId="0" borderId="0" xfId="2" applyFont="1" applyAlignment="1"/>
    <xf numFmtId="0" fontId="5" fillId="0" borderId="20" xfId="2" applyFont="1" applyBorder="1">
      <alignment vertical="center"/>
    </xf>
    <xf numFmtId="178" fontId="3" fillId="0" borderId="0" xfId="2" applyNumberFormat="1" applyFont="1" applyAlignment="1">
      <alignment horizontal="center" vertical="center"/>
    </xf>
    <xf numFmtId="0" fontId="12" fillId="6" borderId="27" xfId="2" applyFont="1" applyFill="1" applyBorder="1" applyAlignment="1">
      <alignment horizontal="center" vertical="center"/>
    </xf>
    <xf numFmtId="0" fontId="13" fillId="2" borderId="3" xfId="2" applyFont="1" applyFill="1" applyBorder="1" applyAlignment="1">
      <alignment horizontal="left" vertical="center"/>
    </xf>
    <xf numFmtId="0" fontId="3" fillId="6" borderId="20" xfId="2" applyFont="1" applyFill="1" applyBorder="1">
      <alignment vertical="center"/>
    </xf>
    <xf numFmtId="0" fontId="6" fillId="6" borderId="20" xfId="2" applyFont="1" applyFill="1" applyBorder="1">
      <alignment vertical="center"/>
    </xf>
    <xf numFmtId="176" fontId="3" fillId="0" borderId="0" xfId="2" applyNumberFormat="1" applyFont="1" applyAlignment="1">
      <alignment horizontal="center" vertical="center"/>
    </xf>
    <xf numFmtId="0" fontId="13" fillId="2" borderId="3" xfId="2" applyFont="1" applyFill="1" applyBorder="1">
      <alignment vertical="center"/>
    </xf>
    <xf numFmtId="0" fontId="3" fillId="6" borderId="27" xfId="0" applyFont="1" applyFill="1" applyBorder="1"/>
    <xf numFmtId="0" fontId="3" fillId="0" borderId="27" xfId="0" applyFont="1" applyBorder="1"/>
    <xf numFmtId="0" fontId="12" fillId="0" borderId="0" xfId="0" applyFont="1" applyAlignment="1">
      <alignment horizontal="center" vertical="center"/>
    </xf>
    <xf numFmtId="0" fontId="3" fillId="0" borderId="0" xfId="0" applyFont="1" applyAlignment="1">
      <alignment horizontal="center" vertical="center"/>
    </xf>
    <xf numFmtId="0" fontId="5" fillId="0" borderId="0" xfId="2" applyFont="1" applyAlignment="1">
      <alignment horizontal="center" vertical="center"/>
    </xf>
    <xf numFmtId="0" fontId="6" fillId="0" borderId="0" xfId="2" applyFont="1" applyAlignment="1">
      <alignment horizontal="center" vertical="center"/>
    </xf>
    <xf numFmtId="0" fontId="5" fillId="6" borderId="0" xfId="2" applyFont="1" applyFill="1">
      <alignment vertical="center"/>
    </xf>
    <xf numFmtId="0" fontId="6" fillId="6" borderId="0" xfId="2" applyFont="1" applyFill="1">
      <alignment vertical="center"/>
    </xf>
    <xf numFmtId="0" fontId="13" fillId="6" borderId="27" xfId="0" applyFont="1" applyFill="1" applyBorder="1"/>
    <xf numFmtId="0" fontId="3" fillId="6" borderId="0" xfId="0" applyFont="1" applyFill="1"/>
    <xf numFmtId="0" fontId="8" fillId="6" borderId="0" xfId="0" applyFont="1" applyFill="1"/>
    <xf numFmtId="0" fontId="3" fillId="0" borderId="27" xfId="2" applyFont="1" applyBorder="1">
      <alignment vertical="center"/>
    </xf>
    <xf numFmtId="0" fontId="6" fillId="6" borderId="0" xfId="0" applyFont="1" applyFill="1"/>
    <xf numFmtId="0" fontId="5" fillId="6" borderId="0" xfId="0" applyFont="1" applyFill="1" applyAlignment="1">
      <alignment vertical="center"/>
    </xf>
    <xf numFmtId="176" fontId="19" fillId="0" borderId="0" xfId="2" applyNumberFormat="1" applyFont="1" applyAlignment="1">
      <alignment vertical="center" shrinkToFit="1"/>
    </xf>
    <xf numFmtId="0" fontId="6" fillId="0" borderId="27" xfId="0" applyFont="1" applyBorder="1" applyAlignment="1">
      <alignment vertical="center"/>
    </xf>
    <xf numFmtId="0" fontId="6" fillId="6" borderId="6" xfId="0" applyFont="1" applyFill="1" applyBorder="1"/>
    <xf numFmtId="0" fontId="5" fillId="6" borderId="0" xfId="0" applyFont="1" applyFill="1"/>
    <xf numFmtId="0" fontId="13" fillId="6" borderId="0" xfId="0" applyFont="1" applyFill="1"/>
    <xf numFmtId="38" fontId="10" fillId="0" borderId="10" xfId="4" applyFont="1" applyFill="1" applyBorder="1" applyAlignment="1" applyProtection="1">
      <alignment vertical="center"/>
    </xf>
    <xf numFmtId="0" fontId="5" fillId="6" borderId="20" xfId="2" applyFont="1" applyFill="1" applyBorder="1">
      <alignment vertical="center"/>
    </xf>
    <xf numFmtId="0" fontId="6" fillId="0" borderId="27" xfId="0" applyFont="1" applyBorder="1"/>
    <xf numFmtId="0" fontId="3" fillId="0" borderId="0" xfId="0" applyFont="1"/>
    <xf numFmtId="0" fontId="3" fillId="0" borderId="20" xfId="0" applyFont="1" applyBorder="1"/>
    <xf numFmtId="0" fontId="9" fillId="0" borderId="57" xfId="2" applyFont="1" applyBorder="1">
      <alignment vertical="center"/>
    </xf>
    <xf numFmtId="0" fontId="8" fillId="0" borderId="27" xfId="0" applyFont="1" applyBorder="1"/>
    <xf numFmtId="9" fontId="3" fillId="0" borderId="57" xfId="2" applyNumberFormat="1" applyFont="1" applyBorder="1">
      <alignment vertical="center"/>
    </xf>
    <xf numFmtId="0" fontId="6" fillId="0" borderId="57" xfId="2" applyFont="1" applyBorder="1">
      <alignment vertical="center"/>
    </xf>
    <xf numFmtId="0" fontId="6" fillId="0" borderId="0" xfId="0" applyFont="1"/>
    <xf numFmtId="0" fontId="13" fillId="2" borderId="31" xfId="2" applyFont="1" applyFill="1" applyBorder="1">
      <alignment vertical="center"/>
    </xf>
    <xf numFmtId="0" fontId="3" fillId="2" borderId="28" xfId="2" applyFont="1" applyFill="1" applyBorder="1">
      <alignment vertical="center"/>
    </xf>
    <xf numFmtId="0" fontId="5" fillId="2" borderId="28" xfId="2" applyFont="1" applyFill="1" applyBorder="1" applyAlignment="1"/>
    <xf numFmtId="0" fontId="3" fillId="2" borderId="32" xfId="2" applyFont="1" applyFill="1" applyBorder="1">
      <alignment vertical="center"/>
    </xf>
    <xf numFmtId="0" fontId="13" fillId="0" borderId="27" xfId="2" applyFont="1" applyBorder="1">
      <alignment vertical="center"/>
    </xf>
    <xf numFmtId="0" fontId="5" fillId="0" borderId="0" xfId="2" applyFont="1" applyAlignment="1"/>
    <xf numFmtId="0" fontId="3" fillId="0" borderId="20" xfId="2" applyFont="1" applyBorder="1">
      <alignment vertical="center"/>
    </xf>
    <xf numFmtId="0" fontId="9" fillId="0" borderId="0" xfId="2" applyFont="1">
      <alignment vertical="center"/>
    </xf>
    <xf numFmtId="0" fontId="13" fillId="0" borderId="27" xfId="2" applyFont="1" applyBorder="1" applyAlignment="1">
      <alignment horizontal="left" vertical="center"/>
    </xf>
    <xf numFmtId="0" fontId="3" fillId="0" borderId="0" xfId="2" applyFont="1" applyAlignment="1">
      <alignment horizontal="left" vertical="center" wrapText="1"/>
    </xf>
    <xf numFmtId="0" fontId="13" fillId="0" borderId="0" xfId="2" applyFont="1" applyAlignment="1">
      <alignment horizontal="left" vertical="center" wrapText="1"/>
    </xf>
    <xf numFmtId="0" fontId="3" fillId="0" borderId="20" xfId="2" applyFont="1" applyBorder="1" applyAlignment="1">
      <alignment horizontal="left" vertical="center" wrapText="1"/>
    </xf>
    <xf numFmtId="0" fontId="8" fillId="0" borderId="27" xfId="2" applyFont="1" applyBorder="1" applyAlignment="1">
      <alignment horizontal="center" vertical="center"/>
    </xf>
    <xf numFmtId="0" fontId="6" fillId="0" borderId="0" xfId="0" applyFont="1" applyAlignment="1">
      <alignment wrapText="1"/>
    </xf>
    <xf numFmtId="0" fontId="5" fillId="0" borderId="27" xfId="2" applyFont="1" applyBorder="1" applyAlignment="1">
      <alignment horizontal="center" vertical="center"/>
    </xf>
    <xf numFmtId="0" fontId="3" fillId="0" borderId="2" xfId="2" applyFont="1" applyBorder="1">
      <alignment vertical="center"/>
    </xf>
    <xf numFmtId="0" fontId="7" fillId="0" borderId="0" xfId="2" applyFont="1" applyAlignment="1">
      <alignment vertical="center" wrapText="1"/>
    </xf>
    <xf numFmtId="0" fontId="5" fillId="0" borderId="20" xfId="2" applyFont="1" applyBorder="1" applyAlignment="1"/>
    <xf numFmtId="0" fontId="23" fillId="0" borderId="27" xfId="2" applyFont="1" applyBorder="1">
      <alignment vertical="center"/>
    </xf>
    <xf numFmtId="0" fontId="10" fillId="0" borderId="0" xfId="2" applyFont="1" applyAlignment="1">
      <alignment horizontal="center" vertical="center"/>
    </xf>
    <xf numFmtId="0" fontId="7" fillId="0" borderId="0" xfId="2" applyFont="1" applyAlignment="1">
      <alignment horizontal="center" vertical="center" wrapText="1"/>
    </xf>
    <xf numFmtId="0" fontId="4" fillId="0" borderId="0" xfId="2" applyFont="1" applyAlignment="1">
      <alignment horizontal="center" vertical="center"/>
    </xf>
    <xf numFmtId="0" fontId="5" fillId="0" borderId="0" xfId="0" applyFont="1" applyAlignment="1">
      <alignment horizontal="center" vertical="center"/>
    </xf>
    <xf numFmtId="38" fontId="5" fillId="6" borderId="10" xfId="4" applyFont="1" applyFill="1" applyBorder="1" applyAlignment="1" applyProtection="1">
      <alignment vertical="center"/>
    </xf>
    <xf numFmtId="0" fontId="6" fillId="6" borderId="10" xfId="0" applyFont="1" applyFill="1" applyBorder="1"/>
    <xf numFmtId="38" fontId="5" fillId="6" borderId="0" xfId="4" applyFont="1" applyFill="1" applyBorder="1" applyAlignment="1" applyProtection="1">
      <alignment vertical="center"/>
    </xf>
    <xf numFmtId="0" fontId="3" fillId="0" borderId="0" xfId="2" applyFont="1" applyAlignment="1">
      <alignment horizontal="left" vertical="center" shrinkToFit="1"/>
    </xf>
    <xf numFmtId="0" fontId="13" fillId="6" borderId="0" xfId="2" applyFont="1" applyFill="1" applyAlignment="1"/>
    <xf numFmtId="38" fontId="5" fillId="0" borderId="0" xfId="4" applyFont="1" applyFill="1" applyBorder="1" applyAlignment="1" applyProtection="1">
      <alignment vertical="center"/>
    </xf>
    <xf numFmtId="0" fontId="3" fillId="0" borderId="0" xfId="0" applyFont="1" applyAlignment="1">
      <alignment horizontal="center" vertical="center" wrapText="1"/>
    </xf>
    <xf numFmtId="38" fontId="24" fillId="0" borderId="0" xfId="4" applyFont="1" applyFill="1" applyBorder="1" applyAlignment="1" applyProtection="1">
      <alignment horizontal="center" vertical="top"/>
    </xf>
    <xf numFmtId="0" fontId="11" fillId="0" borderId="27" xfId="2" applyFont="1" applyBorder="1">
      <alignment vertical="center"/>
    </xf>
    <xf numFmtId="0" fontId="12" fillId="0" borderId="0" xfId="2" applyFont="1" applyAlignment="1"/>
    <xf numFmtId="0" fontId="11" fillId="6" borderId="0" xfId="0" applyFont="1" applyFill="1" applyAlignment="1">
      <alignment horizontal="left" vertical="center"/>
    </xf>
    <xf numFmtId="0" fontId="3" fillId="0" borderId="17" xfId="2" applyFont="1" applyBorder="1">
      <alignment vertical="center"/>
    </xf>
    <xf numFmtId="0" fontId="3" fillId="0" borderId="11" xfId="2" applyFont="1" applyBorder="1">
      <alignment vertical="center"/>
    </xf>
    <xf numFmtId="0" fontId="7" fillId="0" borderId="11" xfId="2" applyFont="1" applyBorder="1" applyAlignment="1">
      <alignment horizontal="center" vertical="center" wrapText="1"/>
    </xf>
    <xf numFmtId="0" fontId="4" fillId="0" borderId="11" xfId="2" applyFont="1" applyBorder="1" applyAlignment="1">
      <alignment vertical="top"/>
    </xf>
    <xf numFmtId="0" fontId="5" fillId="0" borderId="11" xfId="0" applyFont="1" applyBorder="1" applyAlignment="1">
      <alignment vertical="center"/>
    </xf>
    <xf numFmtId="0" fontId="3" fillId="0" borderId="18" xfId="2" applyFont="1" applyBorder="1">
      <alignment vertical="center"/>
    </xf>
    <xf numFmtId="49" fontId="13" fillId="0" borderId="0" xfId="3" applyNumberFormat="1" applyFont="1" applyAlignment="1">
      <alignment horizontal="left" vertical="center" wrapText="1" shrinkToFit="1"/>
    </xf>
    <xf numFmtId="49" fontId="6" fillId="0" borderId="0" xfId="3" applyNumberFormat="1" applyFont="1" applyAlignment="1">
      <alignment horizontal="left" vertical="center" wrapText="1" shrinkToFit="1"/>
    </xf>
    <xf numFmtId="0" fontId="17" fillId="0" borderId="0" xfId="0" applyFont="1" applyAlignment="1">
      <alignment horizontal="left" vertical="top"/>
    </xf>
    <xf numFmtId="49" fontId="5" fillId="0" borderId="0" xfId="0" applyNumberFormat="1" applyFont="1"/>
    <xf numFmtId="0" fontId="8" fillId="0" borderId="0" xfId="0" applyFont="1" applyAlignment="1">
      <alignment vertical="center" wrapText="1"/>
    </xf>
    <xf numFmtId="49" fontId="6" fillId="0" borderId="0" xfId="0" applyNumberFormat="1" applyFont="1"/>
    <xf numFmtId="49" fontId="13" fillId="0" borderId="0" xfId="0" applyNumberFormat="1" applyFont="1" applyAlignment="1">
      <alignment vertical="center"/>
    </xf>
    <xf numFmtId="0" fontId="21" fillId="0" borderId="0" xfId="0" applyFont="1" applyAlignment="1">
      <alignment vertical="center"/>
    </xf>
    <xf numFmtId="49" fontId="6" fillId="0" borderId="0" xfId="0" applyNumberFormat="1" applyFont="1" applyAlignment="1">
      <alignment horizontal="left" vertical="top"/>
    </xf>
    <xf numFmtId="0" fontId="6" fillId="0" borderId="0" xfId="0" applyFont="1" applyAlignment="1">
      <alignment vertical="top"/>
    </xf>
    <xf numFmtId="49" fontId="3" fillId="0" borderId="0" xfId="0" applyNumberFormat="1" applyFont="1" applyAlignment="1">
      <alignment horizontal="left" vertical="top"/>
    </xf>
    <xf numFmtId="0" fontId="18" fillId="0" borderId="0" xfId="2" applyFont="1">
      <alignment vertical="center"/>
    </xf>
    <xf numFmtId="0" fontId="3" fillId="0" borderId="0" xfId="2" applyFont="1" applyAlignment="1">
      <alignment horizontal="left" vertical="top"/>
    </xf>
    <xf numFmtId="49" fontId="3" fillId="0" borderId="0" xfId="2" applyNumberFormat="1" applyFont="1" applyAlignment="1">
      <alignment horizontal="left" vertical="top"/>
    </xf>
    <xf numFmtId="0" fontId="3" fillId="0" borderId="0" xfId="2" applyFont="1" applyAlignment="1">
      <alignment horizontal="left" vertical="top" wrapText="1"/>
    </xf>
    <xf numFmtId="0" fontId="3" fillId="0" borderId="0" xfId="2" applyFont="1" applyAlignment="1">
      <alignment horizontal="center" vertical="top"/>
    </xf>
    <xf numFmtId="0" fontId="30" fillId="0" borderId="0" xfId="2" applyFont="1" applyAlignment="1">
      <alignment horizontal="center" vertical="center"/>
    </xf>
    <xf numFmtId="0" fontId="30" fillId="0" borderId="0" xfId="2" applyFont="1">
      <alignment vertical="center"/>
    </xf>
    <xf numFmtId="0" fontId="6" fillId="0" borderId="0" xfId="0" applyFont="1" applyAlignment="1">
      <alignment horizontal="left" vertical="center"/>
    </xf>
    <xf numFmtId="0" fontId="13" fillId="0" borderId="0" xfId="0" applyFont="1" applyAlignment="1">
      <alignment horizontal="left" vertical="center"/>
    </xf>
    <xf numFmtId="0" fontId="13" fillId="0" borderId="0" xfId="0" applyFont="1" applyAlignment="1">
      <alignment horizontal="center" vertical="center" wrapText="1"/>
    </xf>
    <xf numFmtId="9" fontId="14" fillId="0" borderId="0" xfId="0" applyNumberFormat="1" applyFont="1" applyAlignment="1">
      <alignment horizontal="center" vertical="center" wrapText="1"/>
    </xf>
    <xf numFmtId="9" fontId="13" fillId="0" borderId="0" xfId="0" applyNumberFormat="1" applyFont="1" applyAlignment="1">
      <alignment horizontal="center" vertical="center" wrapText="1"/>
    </xf>
    <xf numFmtId="0" fontId="6" fillId="0" borderId="0" xfId="2" applyFont="1" applyAlignment="1">
      <alignment horizontal="left" vertical="center" wrapText="1"/>
    </xf>
    <xf numFmtId="9" fontId="13" fillId="0" borderId="43" xfId="0" applyNumberFormat="1" applyFont="1" applyBorder="1" applyAlignment="1">
      <alignment horizontal="center" vertical="center" wrapText="1"/>
    </xf>
    <xf numFmtId="9" fontId="13" fillId="0" borderId="63" xfId="0" applyNumberFormat="1" applyFont="1" applyBorder="1" applyAlignment="1">
      <alignment horizontal="center" vertical="center" wrapText="1"/>
    </xf>
    <xf numFmtId="9" fontId="13" fillId="0" borderId="64" xfId="0" applyNumberFormat="1" applyFont="1" applyBorder="1" applyAlignment="1">
      <alignment horizontal="center" vertical="center" wrapText="1"/>
    </xf>
    <xf numFmtId="9" fontId="13" fillId="0" borderId="46" xfId="0" applyNumberFormat="1" applyFont="1" applyBorder="1" applyAlignment="1">
      <alignment horizontal="center" vertical="center" wrapText="1"/>
    </xf>
    <xf numFmtId="9" fontId="13" fillId="0" borderId="65" xfId="0" applyNumberFormat="1" applyFont="1" applyBorder="1" applyAlignment="1">
      <alignment horizontal="center" vertical="center" wrapText="1"/>
    </xf>
    <xf numFmtId="9" fontId="13" fillId="0" borderId="66" xfId="0" applyNumberFormat="1" applyFont="1" applyBorder="1" applyAlignment="1">
      <alignment horizontal="center" vertical="center" wrapText="1"/>
    </xf>
    <xf numFmtId="0" fontId="13" fillId="0" borderId="40" xfId="0" applyFont="1" applyBorder="1" applyAlignment="1">
      <alignment horizontal="center" vertical="center" wrapText="1"/>
    </xf>
    <xf numFmtId="0" fontId="13" fillId="0" borderId="41" xfId="0" applyFont="1" applyBorder="1" applyAlignment="1">
      <alignment horizontal="center" vertical="center" wrapText="1"/>
    </xf>
    <xf numFmtId="0" fontId="13" fillId="0" borderId="51" xfId="0" applyFont="1" applyBorder="1" applyAlignment="1">
      <alignment horizontal="center" vertical="center" wrapText="1"/>
    </xf>
    <xf numFmtId="0" fontId="13" fillId="0" borderId="53" xfId="0" applyFont="1" applyBorder="1" applyAlignment="1">
      <alignment horizontal="center" vertical="center" wrapText="1"/>
    </xf>
    <xf numFmtId="0" fontId="13" fillId="0" borderId="54" xfId="0" applyFont="1" applyBorder="1" applyAlignment="1">
      <alignment horizontal="center" vertical="center" wrapText="1"/>
    </xf>
    <xf numFmtId="9" fontId="13" fillId="0" borderId="40" xfId="0" applyNumberFormat="1" applyFont="1" applyBorder="1" applyAlignment="1">
      <alignment horizontal="center" vertical="center" wrapText="1"/>
    </xf>
    <xf numFmtId="9" fontId="13" fillId="0" borderId="54" xfId="0" applyNumberFormat="1" applyFont="1" applyBorder="1" applyAlignment="1">
      <alignment horizontal="center" vertical="center" wrapText="1"/>
    </xf>
    <xf numFmtId="0" fontId="13" fillId="0" borderId="55" xfId="0" applyFont="1" applyBorder="1" applyAlignment="1">
      <alignment horizontal="center" vertical="center" wrapText="1"/>
    </xf>
    <xf numFmtId="9" fontId="13" fillId="0" borderId="42" xfId="0" applyNumberFormat="1" applyFont="1" applyBorder="1" applyAlignment="1">
      <alignment horizontal="center" vertical="center" wrapText="1"/>
    </xf>
    <xf numFmtId="9" fontId="13" fillId="0" borderId="45" xfId="0" applyNumberFormat="1" applyFont="1" applyBorder="1" applyAlignment="1">
      <alignment horizontal="center" vertical="center" wrapText="1"/>
    </xf>
    <xf numFmtId="9" fontId="13" fillId="0" borderId="67" xfId="0" applyNumberFormat="1" applyFont="1" applyBorder="1" applyAlignment="1">
      <alignment horizontal="center" vertical="center" wrapText="1"/>
    </xf>
    <xf numFmtId="9" fontId="13" fillId="0" borderId="68" xfId="0" applyNumberFormat="1" applyFont="1" applyBorder="1" applyAlignment="1">
      <alignment horizontal="center" vertical="center" wrapText="1"/>
    </xf>
    <xf numFmtId="9" fontId="13" fillId="0" borderId="0" xfId="0" applyNumberFormat="1" applyFont="1" applyAlignment="1">
      <alignment horizontal="center" vertical="center" wrapText="1"/>
    </xf>
    <xf numFmtId="9" fontId="13" fillId="0" borderId="69" xfId="0" applyNumberFormat="1" applyFont="1" applyBorder="1" applyAlignment="1">
      <alignment horizontal="center" vertical="center" wrapText="1"/>
    </xf>
    <xf numFmtId="9" fontId="13" fillId="0" borderId="70" xfId="0" applyNumberFormat="1" applyFont="1" applyBorder="1" applyAlignment="1">
      <alignment horizontal="center" vertical="center" wrapText="1"/>
    </xf>
    <xf numFmtId="9" fontId="13" fillId="0" borderId="71" xfId="0" applyNumberFormat="1" applyFont="1" applyBorder="1" applyAlignment="1">
      <alignment horizontal="center" vertical="center" wrapText="1"/>
    </xf>
    <xf numFmtId="9" fontId="13" fillId="0" borderId="72" xfId="0" applyNumberFormat="1" applyFont="1" applyBorder="1" applyAlignment="1">
      <alignment horizontal="center" vertical="center" wrapText="1"/>
    </xf>
    <xf numFmtId="0" fontId="13" fillId="0" borderId="45" xfId="0" applyFont="1" applyBorder="1" applyAlignment="1">
      <alignment horizontal="center" vertical="center" wrapText="1"/>
    </xf>
    <xf numFmtId="0" fontId="13" fillId="0" borderId="46" xfId="0" applyFont="1" applyBorder="1" applyAlignment="1">
      <alignment horizontal="center" vertical="center" wrapText="1"/>
    </xf>
    <xf numFmtId="49" fontId="3" fillId="0" borderId="0" xfId="2" applyNumberFormat="1" applyFont="1" applyAlignment="1">
      <alignment horizontal="left" vertical="top" wrapText="1"/>
    </xf>
    <xf numFmtId="0" fontId="13" fillId="2" borderId="47" xfId="0" applyFont="1" applyFill="1" applyBorder="1" applyAlignment="1">
      <alignment horizontal="center" vertical="center" wrapText="1"/>
    </xf>
    <xf numFmtId="0" fontId="13" fillId="2" borderId="48" xfId="0" applyFont="1" applyFill="1" applyBorder="1" applyAlignment="1">
      <alignment horizontal="center" vertical="center" wrapText="1"/>
    </xf>
    <xf numFmtId="0" fontId="13" fillId="2" borderId="51" xfId="0" applyFont="1" applyFill="1" applyBorder="1" applyAlignment="1">
      <alignment horizontal="center" vertical="center" wrapText="1"/>
    </xf>
    <xf numFmtId="0" fontId="13" fillId="2" borderId="40" xfId="0" applyFont="1" applyFill="1" applyBorder="1" applyAlignment="1">
      <alignment horizontal="center" vertical="center" wrapText="1"/>
    </xf>
    <xf numFmtId="0" fontId="13" fillId="2" borderId="49" xfId="0" applyFont="1" applyFill="1" applyBorder="1" applyAlignment="1">
      <alignment horizontal="center" vertical="center" wrapText="1"/>
    </xf>
    <xf numFmtId="0" fontId="13" fillId="2" borderId="44" xfId="0" applyFont="1" applyFill="1" applyBorder="1" applyAlignment="1">
      <alignment horizontal="center" vertical="center" wrapText="1"/>
    </xf>
    <xf numFmtId="0" fontId="13" fillId="2" borderId="43" xfId="0" applyFont="1" applyFill="1" applyBorder="1" applyAlignment="1">
      <alignment horizontal="center" vertical="center" wrapText="1"/>
    </xf>
    <xf numFmtId="9" fontId="13" fillId="2" borderId="48" xfId="0" applyNumberFormat="1" applyFont="1" applyFill="1" applyBorder="1" applyAlignment="1">
      <alignment horizontal="center" vertical="center" wrapText="1"/>
    </xf>
    <xf numFmtId="9" fontId="13" fillId="2" borderId="56" xfId="0" applyNumberFormat="1" applyFont="1" applyFill="1" applyBorder="1" applyAlignment="1">
      <alignment horizontal="center" vertical="center" wrapText="1"/>
    </xf>
    <xf numFmtId="9" fontId="13" fillId="2" borderId="50" xfId="0" applyNumberFormat="1" applyFont="1" applyFill="1" applyBorder="1" applyAlignment="1">
      <alignment horizontal="center" vertical="center" wrapText="1"/>
    </xf>
    <xf numFmtId="9" fontId="13" fillId="2" borderId="42" xfId="0" applyNumberFormat="1" applyFont="1" applyFill="1" applyBorder="1" applyAlignment="1">
      <alignment horizontal="center" vertical="center" wrapText="1"/>
    </xf>
    <xf numFmtId="9" fontId="13" fillId="2" borderId="40" xfId="0" applyNumberFormat="1" applyFont="1" applyFill="1" applyBorder="1" applyAlignment="1">
      <alignment horizontal="center" vertical="center" wrapText="1"/>
    </xf>
    <xf numFmtId="9" fontId="13" fillId="2" borderId="52" xfId="0" applyNumberFormat="1" applyFont="1" applyFill="1" applyBorder="1" applyAlignment="1">
      <alignment horizontal="center" vertical="center" wrapText="1"/>
    </xf>
    <xf numFmtId="9" fontId="13" fillId="2" borderId="41" xfId="0" applyNumberFormat="1" applyFont="1" applyFill="1" applyBorder="1" applyAlignment="1">
      <alignment horizontal="center" vertical="center" wrapText="1"/>
    </xf>
    <xf numFmtId="0" fontId="3" fillId="0" borderId="0" xfId="2" applyFont="1" applyAlignment="1">
      <alignment horizontal="left" vertical="top" wrapText="1"/>
    </xf>
    <xf numFmtId="0" fontId="30" fillId="0" borderId="0" xfId="2" applyFont="1" applyAlignment="1">
      <alignment horizontal="left" vertical="top" wrapText="1"/>
    </xf>
    <xf numFmtId="0" fontId="3" fillId="0" borderId="0" xfId="2" applyFont="1" applyAlignment="1">
      <alignment horizontal="left" vertical="top"/>
    </xf>
    <xf numFmtId="0" fontId="12" fillId="0" borderId="0" xfId="2" applyFont="1" applyAlignment="1">
      <alignment horizontal="left" vertical="top"/>
    </xf>
    <xf numFmtId="38" fontId="10" fillId="5" borderId="57" xfId="4" applyFont="1" applyFill="1" applyBorder="1" applyAlignment="1" applyProtection="1">
      <alignment horizontal="center" vertical="center"/>
    </xf>
    <xf numFmtId="38" fontId="24" fillId="0" borderId="0" xfId="4" applyFont="1" applyFill="1" applyBorder="1" applyAlignment="1" applyProtection="1">
      <alignment horizontal="center" vertical="top"/>
    </xf>
    <xf numFmtId="38" fontId="10" fillId="5" borderId="58" xfId="4" applyFont="1" applyFill="1" applyBorder="1" applyAlignment="1" applyProtection="1">
      <alignment horizontal="center" vertical="center"/>
    </xf>
    <xf numFmtId="38" fontId="10" fillId="5" borderId="59" xfId="4" applyFont="1" applyFill="1" applyBorder="1" applyAlignment="1" applyProtection="1">
      <alignment horizontal="center" vertical="center"/>
    </xf>
    <xf numFmtId="38" fontId="10" fillId="5" borderId="60" xfId="4" applyFont="1" applyFill="1" applyBorder="1" applyAlignment="1" applyProtection="1">
      <alignment horizontal="center" vertical="center"/>
    </xf>
    <xf numFmtId="0" fontId="3" fillId="0" borderId="0" xfId="0" applyFont="1" applyAlignment="1">
      <alignment horizontal="left" vertical="top"/>
    </xf>
    <xf numFmtId="0" fontId="30" fillId="0" borderId="0" xfId="0" applyFont="1" applyAlignment="1">
      <alignment horizontal="left" vertical="top" wrapText="1"/>
    </xf>
    <xf numFmtId="0" fontId="13" fillId="6" borderId="0" xfId="2" applyFont="1" applyFill="1" applyAlignment="1">
      <alignment horizontal="center"/>
    </xf>
    <xf numFmtId="0" fontId="5" fillId="0" borderId="0" xfId="0" applyFont="1" applyAlignment="1">
      <alignment horizontal="center" vertical="center"/>
    </xf>
    <xf numFmtId="38" fontId="19" fillId="0" borderId="57" xfId="4" applyFont="1" applyFill="1" applyBorder="1" applyAlignment="1" applyProtection="1">
      <alignment horizontal="center" vertical="center"/>
    </xf>
    <xf numFmtId="0" fontId="5" fillId="0" borderId="0" xfId="2" applyFont="1" applyAlignment="1">
      <alignment horizontal="center" vertical="center"/>
    </xf>
    <xf numFmtId="0" fontId="5" fillId="0" borderId="39" xfId="0" applyFont="1" applyBorder="1" applyAlignment="1">
      <alignment horizontal="center" vertical="center"/>
    </xf>
    <xf numFmtId="38" fontId="19" fillId="4" borderId="13" xfId="4" applyFont="1" applyFill="1" applyBorder="1" applyAlignment="1" applyProtection="1">
      <alignment horizontal="center" vertical="center"/>
      <protection locked="0"/>
    </xf>
    <xf numFmtId="38" fontId="19" fillId="4" borderId="14" xfId="4" applyFont="1" applyFill="1" applyBorder="1" applyAlignment="1" applyProtection="1">
      <alignment horizontal="center" vertical="center"/>
      <protection locked="0"/>
    </xf>
    <xf numFmtId="38" fontId="19" fillId="4" borderId="15" xfId="4" applyFont="1" applyFill="1" applyBorder="1" applyAlignment="1" applyProtection="1">
      <alignment horizontal="center" vertical="center"/>
      <protection locked="0"/>
    </xf>
    <xf numFmtId="0" fontId="5" fillId="0" borderId="36" xfId="2" applyFont="1" applyBorder="1" applyAlignment="1">
      <alignment horizontal="center" vertical="center"/>
    </xf>
    <xf numFmtId="0" fontId="5" fillId="6" borderId="0" xfId="0" applyFont="1" applyFill="1" applyAlignment="1">
      <alignment horizontal="center" vertical="center"/>
    </xf>
    <xf numFmtId="0" fontId="13" fillId="6" borderId="0" xfId="2" applyFont="1" applyFill="1" applyAlignment="1">
      <alignment horizontal="center" wrapText="1"/>
    </xf>
    <xf numFmtId="38" fontId="5" fillId="0" borderId="0" xfId="4" applyFont="1" applyFill="1" applyBorder="1" applyAlignment="1" applyProtection="1">
      <alignment horizontal="center" vertical="center"/>
    </xf>
    <xf numFmtId="0" fontId="5" fillId="6" borderId="0" xfId="2" applyFont="1" applyFill="1" applyAlignment="1">
      <alignment horizontal="center" vertical="center"/>
    </xf>
    <xf numFmtId="0" fontId="5" fillId="6" borderId="20" xfId="2" applyFont="1" applyFill="1" applyBorder="1" applyAlignment="1">
      <alignment horizontal="center" vertical="center"/>
    </xf>
    <xf numFmtId="38" fontId="5" fillId="0" borderId="0" xfId="0" applyNumberFormat="1" applyFont="1" applyAlignment="1">
      <alignment horizontal="center" vertical="center"/>
    </xf>
    <xf numFmtId="178" fontId="10" fillId="5" borderId="13" xfId="0" applyNumberFormat="1" applyFont="1" applyFill="1" applyBorder="1" applyAlignment="1">
      <alignment horizontal="center" vertical="center"/>
    </xf>
    <xf numFmtId="0" fontId="10" fillId="5" borderId="14" xfId="0" applyFont="1" applyFill="1" applyBorder="1" applyAlignment="1">
      <alignment horizontal="center" vertical="center"/>
    </xf>
    <xf numFmtId="0" fontId="10" fillId="5" borderId="15" xfId="0" applyFont="1" applyFill="1" applyBorder="1" applyAlignment="1">
      <alignment horizontal="center" vertical="center"/>
    </xf>
    <xf numFmtId="0" fontId="5" fillId="6" borderId="36" xfId="0" applyFont="1" applyFill="1" applyBorder="1" applyAlignment="1">
      <alignment horizontal="center" vertical="center"/>
    </xf>
    <xf numFmtId="38" fontId="10" fillId="9" borderId="37" xfId="4" applyFont="1" applyFill="1" applyBorder="1" applyAlignment="1" applyProtection="1">
      <alignment horizontal="center" vertical="center"/>
    </xf>
    <xf numFmtId="38" fontId="10" fillId="9" borderId="10" xfId="4" applyFont="1" applyFill="1" applyBorder="1" applyAlignment="1" applyProtection="1">
      <alignment horizontal="center" vertical="center"/>
    </xf>
    <xf numFmtId="38" fontId="10" fillId="9" borderId="38" xfId="4" applyFont="1" applyFill="1" applyBorder="1" applyAlignment="1" applyProtection="1">
      <alignment horizontal="center" vertical="center"/>
    </xf>
    <xf numFmtId="38" fontId="10" fillId="9" borderId="36" xfId="4" applyFont="1" applyFill="1" applyBorder="1" applyAlignment="1" applyProtection="1">
      <alignment horizontal="center" vertical="center"/>
    </xf>
    <xf numFmtId="38" fontId="10" fillId="9" borderId="0" xfId="4" applyFont="1" applyFill="1" applyBorder="1" applyAlignment="1" applyProtection="1">
      <alignment horizontal="center" vertical="center"/>
    </xf>
    <xf numFmtId="38" fontId="10" fillId="9" borderId="39" xfId="4" applyFont="1" applyFill="1" applyBorder="1" applyAlignment="1" applyProtection="1">
      <alignment horizontal="center" vertical="center"/>
    </xf>
    <xf numFmtId="0" fontId="5" fillId="6" borderId="39" xfId="0" applyFont="1" applyFill="1" applyBorder="1" applyAlignment="1">
      <alignment horizontal="center" vertical="center"/>
    </xf>
    <xf numFmtId="178" fontId="10" fillId="5" borderId="37" xfId="0" applyNumberFormat="1" applyFont="1" applyFill="1" applyBorder="1" applyAlignment="1">
      <alignment horizontal="center" vertical="center"/>
    </xf>
    <xf numFmtId="0" fontId="10" fillId="5" borderId="10" xfId="0" applyFont="1" applyFill="1" applyBorder="1" applyAlignment="1">
      <alignment horizontal="center" vertical="center"/>
    </xf>
    <xf numFmtId="0" fontId="10" fillId="5" borderId="38" xfId="0" applyFont="1" applyFill="1" applyBorder="1" applyAlignment="1">
      <alignment horizontal="center" vertical="center"/>
    </xf>
    <xf numFmtId="0" fontId="10" fillId="5" borderId="36" xfId="0" applyFont="1" applyFill="1" applyBorder="1" applyAlignment="1">
      <alignment horizontal="center" vertical="center"/>
    </xf>
    <xf numFmtId="0" fontId="10" fillId="5" borderId="0" xfId="0" applyFont="1" applyFill="1" applyAlignment="1">
      <alignment horizontal="center" vertical="center"/>
    </xf>
    <xf numFmtId="0" fontId="10" fillId="5" borderId="39" xfId="0" applyFont="1" applyFill="1" applyBorder="1" applyAlignment="1">
      <alignment horizontal="center" vertical="center"/>
    </xf>
    <xf numFmtId="38" fontId="10" fillId="5" borderId="3" xfId="4" applyFont="1" applyFill="1" applyBorder="1" applyAlignment="1" applyProtection="1">
      <alignment horizontal="center" vertical="center"/>
    </xf>
    <xf numFmtId="38" fontId="10" fillId="5" borderId="1" xfId="4" applyFont="1" applyFill="1" applyBorder="1" applyAlignment="1" applyProtection="1">
      <alignment horizontal="center" vertical="center"/>
    </xf>
    <xf numFmtId="38" fontId="10" fillId="5" borderId="8" xfId="4" applyFont="1" applyFill="1" applyBorder="1" applyAlignment="1" applyProtection="1">
      <alignment horizontal="center" vertical="center"/>
    </xf>
    <xf numFmtId="0" fontId="6" fillId="0" borderId="0" xfId="0" applyFont="1" applyAlignment="1">
      <alignment horizontal="center" vertical="center"/>
    </xf>
    <xf numFmtId="0" fontId="6" fillId="0" borderId="20" xfId="0" applyFont="1" applyBorder="1" applyAlignment="1">
      <alignment horizontal="center" vertical="center"/>
    </xf>
    <xf numFmtId="0" fontId="24" fillId="0" borderId="0" xfId="2" applyFont="1" applyAlignment="1">
      <alignment horizontal="center" vertical="center"/>
    </xf>
    <xf numFmtId="0" fontId="29" fillId="0" borderId="0" xfId="2" applyFont="1" applyAlignment="1">
      <alignment horizontal="center"/>
    </xf>
    <xf numFmtId="38" fontId="10" fillId="9" borderId="13" xfId="4" applyFont="1" applyFill="1" applyBorder="1" applyAlignment="1" applyProtection="1">
      <alignment horizontal="center" vertical="center"/>
    </xf>
    <xf numFmtId="38" fontId="10" fillId="9" borderId="14" xfId="4" applyFont="1" applyFill="1" applyBorder="1" applyAlignment="1" applyProtection="1">
      <alignment horizontal="center" vertical="center"/>
    </xf>
    <xf numFmtId="38" fontId="10" fillId="9" borderId="15" xfId="4" applyFont="1" applyFill="1" applyBorder="1" applyAlignment="1" applyProtection="1">
      <alignment horizontal="center" vertical="center"/>
    </xf>
    <xf numFmtId="0" fontId="5" fillId="4" borderId="13" xfId="0" applyFont="1" applyFill="1" applyBorder="1" applyAlignment="1" applyProtection="1">
      <alignment horizontal="center" vertical="center"/>
      <protection locked="0"/>
    </xf>
    <xf numFmtId="0" fontId="5" fillId="4" borderId="14" xfId="0" applyFont="1" applyFill="1" applyBorder="1" applyAlignment="1" applyProtection="1">
      <alignment horizontal="center" vertical="center"/>
      <protection locked="0"/>
    </xf>
    <xf numFmtId="0" fontId="5" fillId="4" borderId="15" xfId="0" applyFont="1" applyFill="1" applyBorder="1" applyAlignment="1" applyProtection="1">
      <alignment horizontal="center" vertical="center"/>
      <protection locked="0"/>
    </xf>
    <xf numFmtId="38" fontId="13" fillId="0" borderId="0" xfId="0" applyNumberFormat="1" applyFont="1" applyAlignment="1">
      <alignment horizontal="center" wrapText="1"/>
    </xf>
    <xf numFmtId="0" fontId="5" fillId="0" borderId="20" xfId="0" applyFont="1" applyBorder="1" applyAlignment="1">
      <alignment horizontal="center" vertical="center"/>
    </xf>
    <xf numFmtId="0" fontId="3" fillId="0" borderId="0" xfId="2" applyFont="1" applyAlignment="1">
      <alignment horizontal="center" vertical="center"/>
    </xf>
    <xf numFmtId="0" fontId="13" fillId="0" borderId="0" xfId="2" applyFont="1" applyAlignment="1">
      <alignment horizontal="center"/>
    </xf>
    <xf numFmtId="0" fontId="13" fillId="0" borderId="19" xfId="0" applyFont="1" applyBorder="1" applyAlignment="1">
      <alignment horizontal="center" wrapText="1"/>
    </xf>
    <xf numFmtId="0" fontId="13" fillId="0" borderId="0" xfId="0" applyFont="1" applyAlignment="1">
      <alignment horizontal="center"/>
    </xf>
    <xf numFmtId="0" fontId="9" fillId="0" borderId="0" xfId="2" applyFont="1" applyAlignment="1">
      <alignment horizontal="center" vertical="center"/>
    </xf>
    <xf numFmtId="0" fontId="3" fillId="10" borderId="0" xfId="2" applyFont="1" applyFill="1" applyAlignment="1">
      <alignment horizontal="center" vertical="center"/>
    </xf>
    <xf numFmtId="0" fontId="13" fillId="0" borderId="0" xfId="0" applyFont="1" applyAlignment="1">
      <alignment horizontal="center" wrapText="1"/>
    </xf>
    <xf numFmtId="0" fontId="13" fillId="0" borderId="19" xfId="0" applyFont="1" applyBorder="1" applyAlignment="1">
      <alignment horizontal="center"/>
    </xf>
    <xf numFmtId="0" fontId="10" fillId="4" borderId="13" xfId="0" applyFont="1" applyFill="1" applyBorder="1" applyAlignment="1" applyProtection="1">
      <alignment horizontal="center" vertical="center"/>
      <protection locked="0"/>
    </xf>
    <xf numFmtId="0" fontId="10" fillId="4" borderId="14" xfId="0" applyFont="1" applyFill="1" applyBorder="1" applyAlignment="1" applyProtection="1">
      <alignment horizontal="center" vertical="center"/>
      <protection locked="0"/>
    </xf>
    <xf numFmtId="0" fontId="10" fillId="4" borderId="15" xfId="0" applyFont="1" applyFill="1" applyBorder="1" applyAlignment="1" applyProtection="1">
      <alignment horizontal="center" vertical="center"/>
      <protection locked="0"/>
    </xf>
    <xf numFmtId="0" fontId="5" fillId="6" borderId="36" xfId="2" applyFont="1" applyFill="1" applyBorder="1" applyAlignment="1">
      <alignment horizontal="center" vertical="center"/>
    </xf>
    <xf numFmtId="0" fontId="13" fillId="6" borderId="19" xfId="0" applyFont="1" applyFill="1" applyBorder="1" applyAlignment="1">
      <alignment horizontal="center"/>
    </xf>
    <xf numFmtId="38" fontId="10" fillId="9" borderId="13" xfId="0" applyNumberFormat="1" applyFont="1" applyFill="1" applyBorder="1" applyAlignment="1">
      <alignment horizontal="center" vertical="center"/>
    </xf>
    <xf numFmtId="0" fontId="10" fillId="9" borderId="14" xfId="0" applyFont="1" applyFill="1" applyBorder="1" applyAlignment="1">
      <alignment horizontal="center" vertical="center"/>
    </xf>
    <xf numFmtId="0" fontId="10" fillId="9" borderId="15" xfId="0" applyFont="1" applyFill="1" applyBorder="1" applyAlignment="1">
      <alignment horizontal="center" vertical="center"/>
    </xf>
    <xf numFmtId="38" fontId="10" fillId="5" borderId="37" xfId="4" applyFont="1" applyFill="1" applyBorder="1" applyAlignment="1" applyProtection="1">
      <alignment horizontal="center" vertical="center"/>
    </xf>
    <xf numFmtId="38" fontId="10" fillId="5" borderId="10" xfId="4" applyFont="1" applyFill="1" applyBorder="1" applyAlignment="1" applyProtection="1">
      <alignment horizontal="center" vertical="center"/>
    </xf>
    <xf numFmtId="38" fontId="10" fillId="5" borderId="38" xfId="4" applyFont="1" applyFill="1" applyBorder="1" applyAlignment="1" applyProtection="1">
      <alignment horizontal="center" vertical="center"/>
    </xf>
    <xf numFmtId="38" fontId="10" fillId="5" borderId="36" xfId="4" applyFont="1" applyFill="1" applyBorder="1" applyAlignment="1" applyProtection="1">
      <alignment horizontal="center" vertical="center"/>
    </xf>
    <xf numFmtId="38" fontId="10" fillId="5" borderId="0" xfId="4" applyFont="1" applyFill="1" applyBorder="1" applyAlignment="1" applyProtection="1">
      <alignment horizontal="center" vertical="center"/>
    </xf>
    <xf numFmtId="38" fontId="10" fillId="5" borderId="39" xfId="4" applyFont="1" applyFill="1" applyBorder="1" applyAlignment="1" applyProtection="1">
      <alignment horizontal="center" vertical="center"/>
    </xf>
    <xf numFmtId="0" fontId="13" fillId="2" borderId="57" xfId="0" applyFont="1" applyFill="1" applyBorder="1" applyAlignment="1">
      <alignment horizontal="center" vertical="center"/>
    </xf>
    <xf numFmtId="38" fontId="19" fillId="9" borderId="57" xfId="4" applyFont="1" applyFill="1" applyBorder="1" applyAlignment="1" applyProtection="1">
      <alignment horizontal="center" vertical="center"/>
    </xf>
    <xf numFmtId="38" fontId="19" fillId="9" borderId="3" xfId="4" applyFont="1" applyFill="1" applyBorder="1" applyAlignment="1" applyProtection="1">
      <alignment horizontal="center" vertical="center"/>
    </xf>
    <xf numFmtId="0" fontId="19" fillId="0" borderId="8" xfId="2" applyFont="1" applyBorder="1" applyAlignment="1">
      <alignment horizontal="center" vertical="center"/>
    </xf>
    <xf numFmtId="0" fontId="19" fillId="0" borderId="57" xfId="2" applyFont="1" applyBorder="1" applyAlignment="1">
      <alignment horizontal="center" vertical="center"/>
    </xf>
    <xf numFmtId="0" fontId="29" fillId="0" borderId="19" xfId="2" applyFont="1" applyBorder="1" applyAlignment="1">
      <alignment horizontal="center"/>
    </xf>
    <xf numFmtId="0" fontId="6" fillId="6" borderId="0" xfId="2" applyFont="1" applyFill="1" applyAlignment="1">
      <alignment horizontal="center" vertical="center"/>
    </xf>
    <xf numFmtId="0" fontId="19" fillId="4" borderId="57" xfId="2" applyFont="1" applyFill="1" applyBorder="1" applyAlignment="1" applyProtection="1">
      <alignment horizontal="center" vertical="center"/>
      <protection locked="0"/>
    </xf>
    <xf numFmtId="38" fontId="19" fillId="4" borderId="57" xfId="4" applyFont="1" applyFill="1" applyBorder="1" applyAlignment="1" applyProtection="1">
      <alignment horizontal="center" vertical="center"/>
      <protection locked="0"/>
    </xf>
    <xf numFmtId="38" fontId="19" fillId="4" borderId="3" xfId="4" applyFont="1" applyFill="1" applyBorder="1" applyAlignment="1" applyProtection="1">
      <alignment horizontal="center" vertical="center"/>
      <protection locked="0"/>
    </xf>
    <xf numFmtId="0" fontId="13" fillId="2" borderId="1" xfId="2" applyFont="1" applyFill="1" applyBorder="1" applyAlignment="1">
      <alignment horizontal="left" vertical="center"/>
    </xf>
    <xf numFmtId="0" fontId="13" fillId="2" borderId="8" xfId="2" applyFont="1" applyFill="1" applyBorder="1" applyAlignment="1">
      <alignment horizontal="left" vertical="center"/>
    </xf>
    <xf numFmtId="0" fontId="13" fillId="2" borderId="9" xfId="2" applyFont="1" applyFill="1" applyBorder="1" applyAlignment="1">
      <alignment horizontal="center" vertical="center"/>
    </xf>
    <xf numFmtId="0" fontId="13" fillId="2" borderId="33" xfId="2" applyFont="1" applyFill="1" applyBorder="1" applyAlignment="1">
      <alignment horizontal="center" vertical="center"/>
    </xf>
    <xf numFmtId="0" fontId="13" fillId="2" borderId="5" xfId="2" applyFont="1" applyFill="1" applyBorder="1" applyAlignment="1">
      <alignment horizontal="center" vertical="center"/>
    </xf>
    <xf numFmtId="0" fontId="13" fillId="2" borderId="2" xfId="2" applyFont="1" applyFill="1" applyBorder="1" applyAlignment="1">
      <alignment horizontal="left" vertical="center"/>
    </xf>
    <xf numFmtId="0" fontId="13" fillId="2" borderId="4" xfId="2" applyFont="1" applyFill="1" applyBorder="1" applyAlignment="1">
      <alignment horizontal="left" vertical="center"/>
    </xf>
    <xf numFmtId="0" fontId="13" fillId="2" borderId="0" xfId="2" applyFont="1" applyFill="1" applyAlignment="1">
      <alignment horizontal="left" vertical="center"/>
    </xf>
    <xf numFmtId="0" fontId="13" fillId="2" borderId="34" xfId="2" applyFont="1" applyFill="1" applyBorder="1" applyAlignment="1">
      <alignment horizontal="left" vertical="center"/>
    </xf>
    <xf numFmtId="0" fontId="13" fillId="2" borderId="6" xfId="2" applyFont="1" applyFill="1" applyBorder="1" applyAlignment="1">
      <alignment horizontal="left" vertical="center"/>
    </xf>
    <xf numFmtId="0" fontId="13" fillId="2" borderId="7" xfId="2" applyFont="1" applyFill="1" applyBorder="1" applyAlignment="1">
      <alignment horizontal="left" vertical="center"/>
    </xf>
    <xf numFmtId="0" fontId="13" fillId="2" borderId="57" xfId="2" applyFont="1" applyFill="1" applyBorder="1" applyAlignment="1">
      <alignment horizontal="center" vertical="center"/>
    </xf>
    <xf numFmtId="0" fontId="19" fillId="4" borderId="1" xfId="2" applyFont="1" applyFill="1" applyBorder="1" applyAlignment="1" applyProtection="1">
      <alignment horizontal="center" vertical="center" shrinkToFit="1"/>
      <protection locked="0"/>
    </xf>
    <xf numFmtId="0" fontId="13" fillId="2" borderId="28" xfId="2" applyFont="1" applyFill="1" applyBorder="1" applyAlignment="1">
      <alignment horizontal="left" vertical="center"/>
    </xf>
    <xf numFmtId="0" fontId="13" fillId="6" borderId="27" xfId="2" applyFont="1" applyFill="1" applyBorder="1" applyAlignment="1">
      <alignment horizontal="left" vertical="center" wrapText="1"/>
    </xf>
    <xf numFmtId="0" fontId="13" fillId="6" borderId="0" xfId="2" applyFont="1" applyFill="1" applyAlignment="1">
      <alignment horizontal="left" vertical="center" wrapText="1"/>
    </xf>
    <xf numFmtId="0" fontId="13" fillId="6" borderId="20" xfId="2" applyFont="1" applyFill="1" applyBorder="1" applyAlignment="1">
      <alignment horizontal="left" vertical="center" wrapText="1"/>
    </xf>
    <xf numFmtId="0" fontId="13" fillId="2" borderId="57" xfId="2" applyFont="1" applyFill="1" applyBorder="1" applyAlignment="1">
      <alignment horizontal="left" vertical="center"/>
    </xf>
    <xf numFmtId="0" fontId="19" fillId="4" borderId="30" xfId="2" applyFont="1" applyFill="1" applyBorder="1" applyAlignment="1" applyProtection="1">
      <alignment horizontal="center" vertical="center" shrinkToFit="1"/>
      <protection locked="0"/>
    </xf>
    <xf numFmtId="0" fontId="13" fillId="2" borderId="3" xfId="2" applyFont="1" applyFill="1" applyBorder="1" applyAlignment="1">
      <alignment horizontal="center" vertical="center"/>
    </xf>
    <xf numFmtId="0" fontId="13" fillId="2" borderId="1" xfId="2" applyFont="1" applyFill="1" applyBorder="1" applyAlignment="1">
      <alignment horizontal="center" vertical="center"/>
    </xf>
    <xf numFmtId="0" fontId="13" fillId="2" borderId="29" xfId="2" applyFont="1" applyFill="1" applyBorder="1" applyAlignment="1">
      <alignment horizontal="center" vertical="center"/>
    </xf>
    <xf numFmtId="0" fontId="13" fillId="2" borderId="3" xfId="2" applyFont="1" applyFill="1" applyBorder="1" applyAlignment="1">
      <alignment horizontal="center" vertical="center" shrinkToFit="1"/>
    </xf>
    <xf numFmtId="0" fontId="13" fillId="2" borderId="1" xfId="2" applyFont="1" applyFill="1" applyBorder="1" applyAlignment="1">
      <alignment horizontal="center" vertical="center" shrinkToFit="1"/>
    </xf>
    <xf numFmtId="0" fontId="13" fillId="2" borderId="29" xfId="2" applyFont="1" applyFill="1" applyBorder="1" applyAlignment="1">
      <alignment horizontal="center" vertical="center" shrinkToFit="1"/>
    </xf>
    <xf numFmtId="0" fontId="29" fillId="2" borderId="1" xfId="2" applyFont="1" applyFill="1" applyBorder="1" applyAlignment="1">
      <alignment horizontal="left" vertical="center"/>
    </xf>
    <xf numFmtId="0" fontId="29" fillId="2" borderId="8" xfId="2" applyFont="1" applyFill="1" applyBorder="1" applyAlignment="1">
      <alignment horizontal="left" vertical="center"/>
    </xf>
    <xf numFmtId="38" fontId="19" fillId="4" borderId="1" xfId="4" applyFont="1" applyFill="1" applyBorder="1" applyAlignment="1" applyProtection="1">
      <alignment horizontal="center" vertical="center"/>
      <protection locked="0"/>
    </xf>
    <xf numFmtId="0" fontId="19" fillId="0" borderId="1" xfId="2" applyFont="1" applyBorder="1" applyAlignment="1">
      <alignment horizontal="center" vertical="center"/>
    </xf>
    <xf numFmtId="0" fontId="19" fillId="0" borderId="26" xfId="2" applyFont="1" applyBorder="1" applyAlignment="1">
      <alignment horizontal="center" vertical="center"/>
    </xf>
    <xf numFmtId="0" fontId="20" fillId="8" borderId="23" xfId="0" applyFont="1" applyFill="1" applyBorder="1" applyAlignment="1" applyProtection="1">
      <alignment horizontal="center" vertical="center" wrapText="1"/>
      <protection locked="0"/>
    </xf>
    <xf numFmtId="0" fontId="20" fillId="8" borderId="21" xfId="0" applyFont="1" applyFill="1" applyBorder="1" applyAlignment="1" applyProtection="1">
      <alignment horizontal="center" vertical="center" wrapText="1"/>
      <protection locked="0"/>
    </xf>
    <xf numFmtId="0" fontId="27" fillId="8" borderId="21" xfId="0" applyFont="1" applyFill="1" applyBorder="1" applyAlignment="1">
      <alignment horizontal="left" vertical="center" wrapText="1"/>
    </xf>
    <xf numFmtId="0" fontId="27" fillId="8" borderId="24" xfId="0" applyFont="1" applyFill="1" applyBorder="1" applyAlignment="1">
      <alignment horizontal="left" vertical="center" wrapText="1"/>
    </xf>
    <xf numFmtId="0" fontId="6" fillId="10" borderId="57" xfId="0" applyFont="1" applyFill="1" applyBorder="1" applyAlignment="1">
      <alignment horizontal="center" vertical="center" wrapText="1"/>
    </xf>
    <xf numFmtId="0" fontId="13" fillId="2" borderId="1" xfId="2" applyFont="1" applyFill="1" applyBorder="1" applyAlignment="1">
      <alignment horizontal="left" vertical="center" wrapText="1"/>
    </xf>
    <xf numFmtId="0" fontId="19" fillId="4" borderId="1" xfId="2" applyFont="1" applyFill="1" applyBorder="1" applyAlignment="1" applyProtection="1">
      <alignment horizontal="center" vertical="center"/>
      <protection locked="0"/>
    </xf>
    <xf numFmtId="0" fontId="19" fillId="4" borderId="26" xfId="2" applyFont="1" applyFill="1" applyBorder="1" applyAlignment="1" applyProtection="1">
      <alignment horizontal="center" vertical="center"/>
      <protection locked="0"/>
    </xf>
    <xf numFmtId="0" fontId="6" fillId="0" borderId="3" xfId="0" applyFont="1" applyBorder="1" applyAlignment="1">
      <alignment horizontal="center" vertical="center"/>
    </xf>
    <xf numFmtId="0" fontId="6" fillId="0" borderId="1" xfId="0" applyFont="1" applyBorder="1" applyAlignment="1">
      <alignment horizontal="center" vertical="center"/>
    </xf>
    <xf numFmtId="0" fontId="6" fillId="0" borderId="8" xfId="0" applyFont="1" applyBorder="1" applyAlignment="1">
      <alignment horizontal="center" vertical="center"/>
    </xf>
    <xf numFmtId="0" fontId="5" fillId="0" borderId="0" xfId="2" applyFont="1" applyAlignment="1">
      <alignment horizontal="center" vertical="center" shrinkToFit="1"/>
    </xf>
    <xf numFmtId="0" fontId="3" fillId="0" borderId="0" xfId="2" applyFont="1" applyAlignment="1">
      <alignment horizontal="left" vertical="center"/>
    </xf>
    <xf numFmtId="0" fontId="25" fillId="0" borderId="0" xfId="2" applyFont="1" applyAlignment="1">
      <alignment horizontal="center" vertical="center" wrapText="1"/>
    </xf>
    <xf numFmtId="0" fontId="25" fillId="0" borderId="0" xfId="2" applyFont="1" applyAlignment="1">
      <alignment horizontal="center" vertical="center"/>
    </xf>
    <xf numFmtId="0" fontId="3" fillId="0" borderId="3" xfId="2" applyFont="1" applyBorder="1" applyAlignment="1">
      <alignment horizontal="center" vertical="center"/>
    </xf>
    <xf numFmtId="0" fontId="3" fillId="0" borderId="1" xfId="2" applyFont="1" applyBorder="1" applyAlignment="1">
      <alignment horizontal="center" vertical="center"/>
    </xf>
    <xf numFmtId="0" fontId="3" fillId="0" borderId="8" xfId="2" applyFont="1" applyBorder="1" applyAlignment="1">
      <alignment horizontal="center" vertical="center"/>
    </xf>
    <xf numFmtId="0" fontId="13" fillId="2" borderId="21" xfId="0" applyFont="1" applyFill="1" applyBorder="1" applyAlignment="1">
      <alignment horizontal="left" vertical="center" wrapText="1"/>
    </xf>
    <xf numFmtId="0" fontId="13" fillId="2" borderId="22" xfId="0" applyFont="1" applyFill="1" applyBorder="1" applyAlignment="1">
      <alignment horizontal="left" vertical="center" wrapText="1"/>
    </xf>
    <xf numFmtId="0" fontId="20" fillId="3" borderId="23" xfId="0" applyFont="1" applyFill="1" applyBorder="1" applyAlignment="1" applyProtection="1">
      <alignment horizontal="center" vertical="center" wrapText="1"/>
      <protection locked="0"/>
    </xf>
    <xf numFmtId="0" fontId="20" fillId="3" borderId="21" xfId="0" applyFont="1" applyFill="1" applyBorder="1" applyAlignment="1" applyProtection="1">
      <alignment horizontal="center" vertical="center" wrapText="1"/>
      <protection locked="0"/>
    </xf>
    <xf numFmtId="0" fontId="6" fillId="3" borderId="21" xfId="0" applyFont="1" applyFill="1" applyBorder="1" applyAlignment="1">
      <alignment horizontal="left" vertical="center" wrapText="1"/>
    </xf>
    <xf numFmtId="0" fontId="20" fillId="7" borderId="23" xfId="0" applyFont="1" applyFill="1" applyBorder="1" applyAlignment="1" applyProtection="1">
      <alignment horizontal="center" vertical="center" wrapText="1"/>
      <protection locked="0"/>
    </xf>
    <xf numFmtId="0" fontId="20" fillId="7" borderId="21" xfId="0" applyFont="1" applyFill="1" applyBorder="1" applyAlignment="1" applyProtection="1">
      <alignment horizontal="center" vertical="center" wrapText="1"/>
      <protection locked="0"/>
    </xf>
    <xf numFmtId="0" fontId="6" fillId="7" borderId="21" xfId="0" applyFont="1" applyFill="1" applyBorder="1" applyAlignment="1">
      <alignment horizontal="left" vertical="center" wrapText="1"/>
    </xf>
    <xf numFmtId="0" fontId="6" fillId="7" borderId="35" xfId="0" applyFont="1" applyFill="1" applyBorder="1" applyAlignment="1">
      <alignment horizontal="left" vertical="center" wrapText="1"/>
    </xf>
  </cellXfs>
  <cellStyles count="5">
    <cellStyle name="桁区切り" xfId="4" builtinId="6"/>
    <cellStyle name="標準" xfId="0" builtinId="0"/>
    <cellStyle name="標準 2" xfId="1" xr:uid="{00000000-0005-0000-0000-000001000000}"/>
    <cellStyle name="標準 2 3" xfId="3" xr:uid="{368CE9A9-9585-43C8-A437-58C1E0627B28}"/>
    <cellStyle name="標準 3" xfId="2" xr:uid="{00000000-0005-0000-0000-000002000000}"/>
  </cellStyles>
  <dxfs count="0"/>
  <tableStyles count="0" defaultTableStyle="TableStyleMedium9" defaultPivotStyle="PivotStyleLight16"/>
  <colors>
    <mruColors>
      <color rgb="FFFFFFCC"/>
      <color rgb="FFFFFF99"/>
      <color rgb="FFFCD5B5"/>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133350</xdr:colOff>
          <xdr:row>4</xdr:row>
          <xdr:rowOff>76200</xdr:rowOff>
        </xdr:from>
        <xdr:to>
          <xdr:col>10</xdr:col>
          <xdr:colOff>190500</xdr:colOff>
          <xdr:row>4</xdr:row>
          <xdr:rowOff>361950</xdr:rowOff>
        </xdr:to>
        <xdr:sp macro="" textlink="">
          <xdr:nvSpPr>
            <xdr:cNvPr id="30721" name="Check Box 1" hidden="1">
              <a:extLst>
                <a:ext uri="{63B3BB69-23CF-44E3-9099-C40C66FF867C}">
                  <a14:compatExt spid="_x0000_s30721"/>
                </a:ext>
                <a:ext uri="{FF2B5EF4-FFF2-40B4-BE49-F238E27FC236}">
                  <a16:creationId xmlns:a16="http://schemas.microsoft.com/office/drawing/2014/main" id="{00000000-0008-0000-0000-00000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104775</xdr:colOff>
          <xdr:row>4</xdr:row>
          <xdr:rowOff>76200</xdr:rowOff>
        </xdr:from>
        <xdr:to>
          <xdr:col>22</xdr:col>
          <xdr:colOff>152400</xdr:colOff>
          <xdr:row>4</xdr:row>
          <xdr:rowOff>361950</xdr:rowOff>
        </xdr:to>
        <xdr:sp macro="" textlink="">
          <xdr:nvSpPr>
            <xdr:cNvPr id="30722" name="Check Box 2" hidden="1">
              <a:extLst>
                <a:ext uri="{63B3BB69-23CF-44E3-9099-C40C66FF867C}">
                  <a14:compatExt spid="_x0000_s30722"/>
                </a:ext>
                <a:ext uri="{FF2B5EF4-FFF2-40B4-BE49-F238E27FC236}">
                  <a16:creationId xmlns:a16="http://schemas.microsoft.com/office/drawing/2014/main" id="{00000000-0008-0000-0000-00000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104775</xdr:colOff>
          <xdr:row>4</xdr:row>
          <xdr:rowOff>85725</xdr:rowOff>
        </xdr:from>
        <xdr:to>
          <xdr:col>34</xdr:col>
          <xdr:colOff>152400</xdr:colOff>
          <xdr:row>4</xdr:row>
          <xdr:rowOff>381000</xdr:rowOff>
        </xdr:to>
        <xdr:sp macro="" textlink="">
          <xdr:nvSpPr>
            <xdr:cNvPr id="30723" name="Check Box 3" hidden="1">
              <a:extLst>
                <a:ext uri="{63B3BB69-23CF-44E3-9099-C40C66FF867C}">
                  <a14:compatExt spid="_x0000_s30723"/>
                </a:ext>
                <a:ext uri="{FF2B5EF4-FFF2-40B4-BE49-F238E27FC236}">
                  <a16:creationId xmlns:a16="http://schemas.microsoft.com/office/drawing/2014/main" id="{00000000-0008-0000-0000-00000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04B5A-924F-4044-ADD9-52A1752BC749}">
  <sheetPr>
    <tabColor rgb="FFFFFF00"/>
  </sheetPr>
  <dimension ref="A1:JB89"/>
  <sheetViews>
    <sheetView showGridLines="0" tabSelected="1" view="pageBreakPreview" zoomScale="115" zoomScaleNormal="100" zoomScaleSheetLayoutView="115" workbookViewId="0"/>
  </sheetViews>
  <sheetFormatPr defaultColWidth="9" defaultRowHeight="12"/>
  <cols>
    <col min="1" max="46" width="3.1328125" style="2" customWidth="1"/>
    <col min="47" max="47" width="1.3984375" style="2" customWidth="1"/>
    <col min="48" max="48" width="13.86328125" style="2" hidden="1" customWidth="1"/>
    <col min="49" max="56" width="13.46484375" style="2" hidden="1" customWidth="1"/>
    <col min="57" max="59" width="0" style="2" hidden="1" customWidth="1"/>
    <col min="60" max="16384" width="9" style="2"/>
  </cols>
  <sheetData>
    <row r="1" spans="1:67" ht="17.25" customHeight="1">
      <c r="A1" s="1" t="s">
        <v>166</v>
      </c>
      <c r="AO1" s="326"/>
      <c r="AP1" s="326"/>
      <c r="AQ1" s="326"/>
      <c r="AR1" s="326"/>
      <c r="AS1" s="326"/>
      <c r="AT1" s="326"/>
    </row>
    <row r="2" spans="1:67" ht="16.5">
      <c r="A2" s="327"/>
      <c r="B2" s="327"/>
      <c r="C2" s="327"/>
      <c r="D2" s="327"/>
      <c r="E2" s="327"/>
      <c r="F2" s="327"/>
      <c r="G2" s="327"/>
      <c r="H2" s="327"/>
      <c r="I2" s="327"/>
      <c r="J2" s="327"/>
      <c r="K2" s="327"/>
      <c r="L2" s="327"/>
      <c r="M2" s="327"/>
      <c r="AO2" s="326"/>
      <c r="AP2" s="326"/>
      <c r="AQ2" s="326"/>
      <c r="AR2" s="326"/>
      <c r="AS2" s="326"/>
      <c r="AT2" s="326"/>
    </row>
    <row r="3" spans="1:67" ht="50.25" customHeight="1">
      <c r="A3" s="328" t="s">
        <v>111</v>
      </c>
      <c r="B3" s="329"/>
      <c r="C3" s="329"/>
      <c r="D3" s="329"/>
      <c r="E3" s="329"/>
      <c r="F3" s="329"/>
      <c r="G3" s="329"/>
      <c r="H3" s="329"/>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row>
    <row r="4" spans="1:67" ht="18.75" customHeight="1" thickBot="1">
      <c r="A4" s="2" t="s">
        <v>134</v>
      </c>
      <c r="AT4" s="3"/>
      <c r="BE4" s="330" t="s">
        <v>120</v>
      </c>
      <c r="BF4" s="331"/>
      <c r="BG4" s="332"/>
    </row>
    <row r="5" spans="1:67" s="10" customFormat="1" ht="56.25" customHeight="1">
      <c r="A5" s="4" t="s">
        <v>0</v>
      </c>
      <c r="B5" s="333" t="s">
        <v>1</v>
      </c>
      <c r="C5" s="333"/>
      <c r="D5" s="333"/>
      <c r="E5" s="333"/>
      <c r="F5" s="333"/>
      <c r="G5" s="333"/>
      <c r="H5" s="333"/>
      <c r="I5" s="334"/>
      <c r="J5" s="335"/>
      <c r="K5" s="336"/>
      <c r="L5" s="5" t="s">
        <v>2</v>
      </c>
      <c r="M5" s="337" t="s">
        <v>112</v>
      </c>
      <c r="N5" s="337"/>
      <c r="O5" s="337"/>
      <c r="P5" s="337"/>
      <c r="Q5" s="337"/>
      <c r="R5" s="337"/>
      <c r="S5" s="337"/>
      <c r="T5" s="337"/>
      <c r="U5" s="337"/>
      <c r="V5" s="338"/>
      <c r="W5" s="339"/>
      <c r="X5" s="6" t="s">
        <v>4</v>
      </c>
      <c r="Y5" s="340" t="s">
        <v>5</v>
      </c>
      <c r="Z5" s="340"/>
      <c r="AA5" s="340"/>
      <c r="AB5" s="340"/>
      <c r="AC5" s="340"/>
      <c r="AD5" s="340"/>
      <c r="AE5" s="340"/>
      <c r="AF5" s="340"/>
      <c r="AG5" s="341"/>
      <c r="AH5" s="315"/>
      <c r="AI5" s="316"/>
      <c r="AJ5" s="7" t="s">
        <v>6</v>
      </c>
      <c r="AK5" s="317" t="s">
        <v>159</v>
      </c>
      <c r="AL5" s="317"/>
      <c r="AM5" s="317"/>
      <c r="AN5" s="317"/>
      <c r="AO5" s="317"/>
      <c r="AP5" s="317"/>
      <c r="AQ5" s="317"/>
      <c r="AR5" s="317"/>
      <c r="AS5" s="317"/>
      <c r="AT5" s="318"/>
      <c r="AU5" s="8"/>
      <c r="AV5" s="319" t="s">
        <v>130</v>
      </c>
      <c r="AW5" s="319"/>
      <c r="AX5" s="319"/>
      <c r="AY5" s="319"/>
      <c r="AZ5" s="319"/>
      <c r="BA5" s="319"/>
      <c r="BB5" s="319"/>
      <c r="BC5" s="319"/>
      <c r="BD5" s="2"/>
      <c r="BE5" s="9"/>
      <c r="BF5" s="9"/>
      <c r="BG5" s="9"/>
      <c r="BH5" s="8"/>
      <c r="BI5" s="8"/>
      <c r="BJ5" s="8"/>
      <c r="BK5" s="8"/>
      <c r="BL5" s="8"/>
      <c r="BM5" s="8"/>
      <c r="BN5" s="8"/>
      <c r="BO5" s="8"/>
    </row>
    <row r="6" spans="1:67" s="10" customFormat="1" ht="36.75" customHeight="1">
      <c r="A6" s="11">
        <v>2</v>
      </c>
      <c r="B6" s="320" t="s">
        <v>7</v>
      </c>
      <c r="C6" s="285"/>
      <c r="D6" s="285"/>
      <c r="E6" s="285"/>
      <c r="F6" s="285"/>
      <c r="G6" s="285"/>
      <c r="H6" s="285"/>
      <c r="I6" s="286"/>
      <c r="J6" s="321"/>
      <c r="K6" s="321"/>
      <c r="L6" s="321"/>
      <c r="M6" s="321"/>
      <c r="N6" s="321"/>
      <c r="O6" s="321"/>
      <c r="P6" s="321"/>
      <c r="Q6" s="321"/>
      <c r="R6" s="321"/>
      <c r="S6" s="321"/>
      <c r="T6" s="321"/>
      <c r="U6" s="321"/>
      <c r="V6" s="321"/>
      <c r="W6" s="321"/>
      <c r="X6" s="12">
        <v>3</v>
      </c>
      <c r="Y6" s="285" t="s">
        <v>136</v>
      </c>
      <c r="Z6" s="285"/>
      <c r="AA6" s="285"/>
      <c r="AB6" s="285"/>
      <c r="AC6" s="285"/>
      <c r="AD6" s="285"/>
      <c r="AE6" s="285"/>
      <c r="AF6" s="286"/>
      <c r="AG6" s="321"/>
      <c r="AH6" s="321"/>
      <c r="AI6" s="321"/>
      <c r="AJ6" s="321"/>
      <c r="AK6" s="321"/>
      <c r="AL6" s="321"/>
      <c r="AM6" s="321"/>
      <c r="AN6" s="321"/>
      <c r="AO6" s="321"/>
      <c r="AP6" s="321"/>
      <c r="AQ6" s="321"/>
      <c r="AR6" s="321"/>
      <c r="AS6" s="321"/>
      <c r="AT6" s="322"/>
      <c r="AU6" s="13"/>
      <c r="AV6" s="14"/>
      <c r="AW6" s="323" t="s">
        <v>137</v>
      </c>
      <c r="AX6" s="324"/>
      <c r="AY6" s="15" t="s">
        <v>131</v>
      </c>
      <c r="AZ6" s="323" t="s">
        <v>132</v>
      </c>
      <c r="BA6" s="324"/>
      <c r="BB6" s="324"/>
      <c r="BC6" s="325"/>
      <c r="BD6" s="2"/>
      <c r="BE6" s="2">
        <v>2023</v>
      </c>
      <c r="BF6" s="16" t="s">
        <v>8</v>
      </c>
      <c r="BG6" s="16" t="s">
        <v>8</v>
      </c>
      <c r="BH6" s="17"/>
    </row>
    <row r="7" spans="1:67" ht="36.75" customHeight="1">
      <c r="A7" s="18">
        <v>4</v>
      </c>
      <c r="B7" s="310" t="s">
        <v>162</v>
      </c>
      <c r="C7" s="310"/>
      <c r="D7" s="310"/>
      <c r="E7" s="310"/>
      <c r="F7" s="310"/>
      <c r="G7" s="310"/>
      <c r="H7" s="310"/>
      <c r="I7" s="311"/>
      <c r="J7" s="312"/>
      <c r="K7" s="312"/>
      <c r="L7" s="312"/>
      <c r="M7" s="312"/>
      <c r="N7" s="312"/>
      <c r="O7" s="312"/>
      <c r="P7" s="312"/>
      <c r="Q7" s="312"/>
      <c r="R7" s="312"/>
      <c r="S7" s="312"/>
      <c r="T7" s="312"/>
      <c r="U7" s="312"/>
      <c r="V7" s="313" t="s">
        <v>9</v>
      </c>
      <c r="W7" s="313"/>
      <c r="X7" s="12">
        <v>5</v>
      </c>
      <c r="Y7" s="285" t="s">
        <v>119</v>
      </c>
      <c r="Z7" s="285"/>
      <c r="AA7" s="285"/>
      <c r="AB7" s="285"/>
      <c r="AC7" s="285"/>
      <c r="AD7" s="285"/>
      <c r="AE7" s="285"/>
      <c r="AF7" s="286"/>
      <c r="AG7" s="312"/>
      <c r="AH7" s="312"/>
      <c r="AI7" s="312"/>
      <c r="AJ7" s="312"/>
      <c r="AK7" s="312"/>
      <c r="AL7" s="312"/>
      <c r="AM7" s="312"/>
      <c r="AN7" s="312"/>
      <c r="AO7" s="312"/>
      <c r="AP7" s="312"/>
      <c r="AQ7" s="312"/>
      <c r="AR7" s="312"/>
      <c r="AS7" s="313" t="s">
        <v>9</v>
      </c>
      <c r="AT7" s="314"/>
      <c r="AV7" s="19"/>
      <c r="AW7" s="20" t="s">
        <v>12</v>
      </c>
      <c r="AX7" s="21" t="s">
        <v>16</v>
      </c>
      <c r="AY7" s="22" t="s">
        <v>109</v>
      </c>
      <c r="AZ7" s="23" t="s">
        <v>108</v>
      </c>
      <c r="BA7" s="24" t="s">
        <v>107</v>
      </c>
      <c r="BB7" s="25" t="s">
        <v>138</v>
      </c>
      <c r="BC7" s="26" t="s">
        <v>139</v>
      </c>
      <c r="BD7" s="27"/>
      <c r="BE7" s="2">
        <v>2024</v>
      </c>
      <c r="BF7" s="16" t="s">
        <v>10</v>
      </c>
      <c r="BG7" s="16" t="s">
        <v>11</v>
      </c>
      <c r="BH7" s="28"/>
    </row>
    <row r="8" spans="1:67" ht="36.75" customHeight="1">
      <c r="A8" s="18">
        <v>6</v>
      </c>
      <c r="B8" s="285" t="s">
        <v>118</v>
      </c>
      <c r="C8" s="285"/>
      <c r="D8" s="285"/>
      <c r="E8" s="285"/>
      <c r="F8" s="285"/>
      <c r="G8" s="285"/>
      <c r="H8" s="285"/>
      <c r="I8" s="286"/>
      <c r="J8" s="307" t="s">
        <v>12</v>
      </c>
      <c r="K8" s="308"/>
      <c r="L8" s="309"/>
      <c r="M8" s="303"/>
      <c r="N8" s="297"/>
      <c r="O8" s="297"/>
      <c r="P8" s="297"/>
      <c r="Q8" s="29" t="s">
        <v>13</v>
      </c>
      <c r="R8" s="297"/>
      <c r="S8" s="297"/>
      <c r="T8" s="297"/>
      <c r="U8" s="297"/>
      <c r="V8" s="29" t="s">
        <v>14</v>
      </c>
      <c r="W8" s="297"/>
      <c r="X8" s="297"/>
      <c r="Y8" s="297"/>
      <c r="Z8" s="297"/>
      <c r="AA8" s="29" t="s">
        <v>15</v>
      </c>
      <c r="AB8" s="307" t="s">
        <v>16</v>
      </c>
      <c r="AC8" s="308"/>
      <c r="AD8" s="308"/>
      <c r="AE8" s="309"/>
      <c r="AF8" s="303"/>
      <c r="AG8" s="297"/>
      <c r="AH8" s="297"/>
      <c r="AI8" s="297"/>
      <c r="AJ8" s="29" t="s">
        <v>13</v>
      </c>
      <c r="AK8" s="297"/>
      <c r="AL8" s="297"/>
      <c r="AM8" s="297"/>
      <c r="AN8" s="297"/>
      <c r="AO8" s="29" t="s">
        <v>14</v>
      </c>
      <c r="AP8" s="297"/>
      <c r="AQ8" s="297"/>
      <c r="AR8" s="297"/>
      <c r="AS8" s="297"/>
      <c r="AT8" s="30" t="s">
        <v>15</v>
      </c>
      <c r="AV8" s="19" t="s">
        <v>105</v>
      </c>
      <c r="AW8" s="20" t="str">
        <f>M8&amp;"/"&amp;R8&amp;"/"&amp;W8</f>
        <v>//</v>
      </c>
      <c r="AX8" s="31" t="str">
        <f>AF8&amp;"/"&amp;AK8&amp;"/"&amp;AP8</f>
        <v>//</v>
      </c>
      <c r="AY8" s="32" t="e">
        <f>DATEDIF(AW8,AX8,"d")+1</f>
        <v>#VALUE!</v>
      </c>
      <c r="AZ8" s="33" t="e">
        <f>DATEDIF(AW8,AX8,"M")</f>
        <v>#VALUE!</v>
      </c>
      <c r="BA8" s="34" t="e">
        <f>DATEDIF(AW8,AX8,"MD")+1</f>
        <v>#VALUE!</v>
      </c>
      <c r="BB8" s="35" t="e">
        <f>IF(R8+AZ8&gt;12,M8+1&amp;"/"&amp;R8+AZ8-12&amp;"/"&amp;W8,M8&amp;"/"&amp;R8+AZ8&amp;"/"&amp;W8)</f>
        <v>#VALUE!</v>
      </c>
      <c r="BC8" s="36" t="e">
        <f>DAY(EOMONTH(BB8, 0))</f>
        <v>#VALUE!</v>
      </c>
      <c r="BE8" s="2">
        <v>2025</v>
      </c>
      <c r="BF8" s="16" t="s">
        <v>19</v>
      </c>
      <c r="BG8" s="16" t="s">
        <v>19</v>
      </c>
    </row>
    <row r="9" spans="1:67" ht="36.75" customHeight="1">
      <c r="A9" s="11">
        <v>7</v>
      </c>
      <c r="B9" s="285" t="s">
        <v>20</v>
      </c>
      <c r="C9" s="285"/>
      <c r="D9" s="285"/>
      <c r="E9" s="285"/>
      <c r="F9" s="285"/>
      <c r="G9" s="285"/>
      <c r="H9" s="285"/>
      <c r="I9" s="286"/>
      <c r="J9" s="304" t="s">
        <v>12</v>
      </c>
      <c r="K9" s="305"/>
      <c r="L9" s="306"/>
      <c r="M9" s="303"/>
      <c r="N9" s="297"/>
      <c r="O9" s="297"/>
      <c r="P9" s="297"/>
      <c r="Q9" s="29" t="s">
        <v>13</v>
      </c>
      <c r="R9" s="297"/>
      <c r="S9" s="297"/>
      <c r="T9" s="297"/>
      <c r="U9" s="297"/>
      <c r="V9" s="29" t="s">
        <v>14</v>
      </c>
      <c r="W9" s="297"/>
      <c r="X9" s="297"/>
      <c r="Y9" s="297"/>
      <c r="Z9" s="297"/>
      <c r="AA9" s="29" t="s">
        <v>15</v>
      </c>
      <c r="AB9" s="307" t="s">
        <v>16</v>
      </c>
      <c r="AC9" s="308"/>
      <c r="AD9" s="308"/>
      <c r="AE9" s="309"/>
      <c r="AF9" s="303"/>
      <c r="AG9" s="297"/>
      <c r="AH9" s="297"/>
      <c r="AI9" s="297"/>
      <c r="AJ9" s="29" t="s">
        <v>13</v>
      </c>
      <c r="AK9" s="297"/>
      <c r="AL9" s="297"/>
      <c r="AM9" s="297"/>
      <c r="AN9" s="297"/>
      <c r="AO9" s="29" t="s">
        <v>14</v>
      </c>
      <c r="AP9" s="297"/>
      <c r="AQ9" s="297"/>
      <c r="AR9" s="297"/>
      <c r="AS9" s="297"/>
      <c r="AT9" s="30" t="s">
        <v>15</v>
      </c>
      <c r="AV9" s="19" t="s">
        <v>106</v>
      </c>
      <c r="AW9" s="20" t="str">
        <f>M9&amp;"/"&amp;R9&amp;"/"&amp;W9</f>
        <v>//</v>
      </c>
      <c r="AX9" s="31" t="str">
        <f>AF9&amp;"/"&amp;AK9&amp;"/"&amp;AP9</f>
        <v>//</v>
      </c>
      <c r="AY9" s="32" t="e">
        <f>DATEDIF(AW9,AX9,"d")+1</f>
        <v>#VALUE!</v>
      </c>
      <c r="AZ9" s="37"/>
      <c r="BA9" s="38"/>
      <c r="BB9" s="38"/>
      <c r="BC9" s="37"/>
      <c r="BD9" s="39"/>
      <c r="BE9" s="2">
        <v>2026</v>
      </c>
      <c r="BF9" s="16" t="s">
        <v>21</v>
      </c>
      <c r="BG9" s="16" t="s">
        <v>22</v>
      </c>
    </row>
    <row r="10" spans="1:67" ht="33" customHeight="1">
      <c r="A10" s="40">
        <v>8</v>
      </c>
      <c r="B10" s="298" t="s">
        <v>23</v>
      </c>
      <c r="C10" s="298"/>
      <c r="D10" s="298"/>
      <c r="E10" s="298"/>
      <c r="F10" s="298"/>
      <c r="G10" s="298"/>
      <c r="H10" s="298"/>
      <c r="I10" s="298"/>
      <c r="J10" s="41"/>
      <c r="K10" s="42"/>
      <c r="L10" s="42"/>
      <c r="M10" s="42"/>
      <c r="N10" s="42"/>
      <c r="O10" s="42"/>
      <c r="P10" s="42"/>
      <c r="Q10" s="42"/>
      <c r="R10" s="42"/>
      <c r="S10" s="42"/>
      <c r="T10" s="42"/>
      <c r="U10" s="42"/>
      <c r="V10" s="43"/>
      <c r="W10" s="43"/>
      <c r="X10" s="44"/>
      <c r="Y10" s="44"/>
      <c r="Z10" s="44"/>
      <c r="AA10" s="42"/>
      <c r="AB10" s="42"/>
      <c r="AC10" s="42"/>
      <c r="AD10" s="42"/>
      <c r="AE10" s="45"/>
      <c r="AF10" s="42"/>
      <c r="AG10" s="42"/>
      <c r="AH10" s="42"/>
      <c r="AI10" s="42"/>
      <c r="AJ10" s="42"/>
      <c r="AK10" s="42"/>
      <c r="AL10" s="42"/>
      <c r="AM10" s="42"/>
      <c r="AN10" s="42"/>
      <c r="AO10" s="42"/>
      <c r="AP10" s="42"/>
      <c r="AQ10" s="42"/>
      <c r="AR10" s="42"/>
      <c r="AS10" s="42"/>
      <c r="AT10" s="46"/>
      <c r="BE10" s="2">
        <v>2027</v>
      </c>
      <c r="BF10" s="16" t="s">
        <v>24</v>
      </c>
      <c r="BG10" s="16" t="s">
        <v>24</v>
      </c>
    </row>
    <row r="11" spans="1:67" ht="9.75" customHeight="1">
      <c r="A11" s="47"/>
      <c r="B11" s="48"/>
      <c r="C11" s="48"/>
      <c r="D11" s="48"/>
      <c r="E11" s="48"/>
      <c r="F11" s="48"/>
      <c r="G11" s="48"/>
      <c r="H11" s="48"/>
      <c r="I11" s="48"/>
      <c r="J11" s="49"/>
      <c r="K11" s="50"/>
      <c r="L11" s="50"/>
      <c r="M11" s="50"/>
      <c r="N11" s="50"/>
      <c r="O11" s="50"/>
      <c r="P11" s="50"/>
      <c r="Q11" s="50"/>
      <c r="R11" s="50"/>
      <c r="S11" s="50"/>
      <c r="T11" s="50"/>
      <c r="U11" s="50"/>
      <c r="V11" s="51"/>
      <c r="W11" s="51"/>
      <c r="X11" s="52"/>
      <c r="Y11" s="52"/>
      <c r="Z11" s="52"/>
      <c r="AA11" s="50"/>
      <c r="AB11" s="50"/>
      <c r="AC11" s="50"/>
      <c r="AD11" s="50"/>
      <c r="AE11" s="53"/>
      <c r="AF11" s="50"/>
      <c r="AG11" s="50"/>
      <c r="AH11" s="50"/>
      <c r="AI11" s="50"/>
      <c r="AJ11" s="50"/>
      <c r="AK11" s="50"/>
      <c r="AL11" s="50"/>
      <c r="AM11" s="50"/>
      <c r="AN11" s="50"/>
      <c r="AO11" s="50"/>
      <c r="AP11" s="50"/>
      <c r="AQ11" s="50"/>
      <c r="AR11" s="50"/>
      <c r="AS11" s="50"/>
      <c r="AT11" s="54"/>
      <c r="AW11" s="55"/>
      <c r="AX11" s="39"/>
      <c r="AY11" s="39"/>
      <c r="AZ11" s="39"/>
      <c r="BA11" s="39"/>
      <c r="BB11" s="39"/>
      <c r="BC11" s="39"/>
      <c r="BD11" s="39"/>
      <c r="BE11" s="2">
        <v>2028</v>
      </c>
      <c r="BF11" s="16" t="s">
        <v>26</v>
      </c>
      <c r="BG11" s="16" t="s">
        <v>26</v>
      </c>
    </row>
    <row r="12" spans="1:67" ht="18.75" customHeight="1">
      <c r="A12" s="299" t="s">
        <v>25</v>
      </c>
      <c r="B12" s="300"/>
      <c r="C12" s="300"/>
      <c r="D12" s="300"/>
      <c r="E12" s="300"/>
      <c r="F12" s="300"/>
      <c r="G12" s="300"/>
      <c r="H12" s="300"/>
      <c r="I12" s="300"/>
      <c r="J12" s="300"/>
      <c r="K12" s="300"/>
      <c r="L12" s="300"/>
      <c r="M12" s="300"/>
      <c r="N12" s="300"/>
      <c r="O12" s="300"/>
      <c r="P12" s="300"/>
      <c r="Q12" s="300"/>
      <c r="R12" s="300"/>
      <c r="S12" s="300"/>
      <c r="T12" s="300"/>
      <c r="U12" s="300"/>
      <c r="V12" s="300"/>
      <c r="W12" s="300"/>
      <c r="X12" s="300"/>
      <c r="Y12" s="300"/>
      <c r="Z12" s="300"/>
      <c r="AA12" s="300"/>
      <c r="AB12" s="300"/>
      <c r="AC12" s="300"/>
      <c r="AD12" s="300"/>
      <c r="AE12" s="300"/>
      <c r="AF12" s="300"/>
      <c r="AG12" s="300"/>
      <c r="AH12" s="300"/>
      <c r="AI12" s="300"/>
      <c r="AJ12" s="300"/>
      <c r="AK12" s="300"/>
      <c r="AL12" s="300"/>
      <c r="AM12" s="300"/>
      <c r="AN12" s="300"/>
      <c r="AO12" s="300"/>
      <c r="AP12" s="300"/>
      <c r="AQ12" s="300"/>
      <c r="AR12" s="300"/>
      <c r="AS12" s="300"/>
      <c r="AT12" s="301"/>
      <c r="AW12" s="39"/>
      <c r="AX12" s="39"/>
      <c r="AY12" s="39"/>
      <c r="AZ12" s="39"/>
      <c r="BA12" s="39"/>
      <c r="BB12" s="39"/>
      <c r="BC12" s="39"/>
      <c r="BD12" s="39"/>
      <c r="BE12" s="2">
        <v>2029</v>
      </c>
      <c r="BF12" s="16" t="s">
        <v>28</v>
      </c>
      <c r="BG12" s="16" t="s">
        <v>28</v>
      </c>
    </row>
    <row r="13" spans="1:67" ht="39.75" customHeight="1">
      <c r="A13" s="56"/>
      <c r="B13" s="57" t="s">
        <v>2</v>
      </c>
      <c r="C13" s="286" t="s">
        <v>122</v>
      </c>
      <c r="D13" s="302"/>
      <c r="E13" s="302"/>
      <c r="F13" s="302"/>
      <c r="G13" s="302"/>
      <c r="H13" s="302"/>
      <c r="I13" s="302"/>
      <c r="J13" s="302"/>
      <c r="K13" s="302"/>
      <c r="L13" s="302"/>
      <c r="M13" s="302"/>
      <c r="N13" s="302"/>
      <c r="O13" s="302"/>
      <c r="P13" s="302"/>
      <c r="Q13" s="302"/>
      <c r="R13" s="302"/>
      <c r="S13" s="302"/>
      <c r="T13" s="302"/>
      <c r="U13" s="302"/>
      <c r="V13" s="302"/>
      <c r="W13" s="302"/>
      <c r="X13" s="302"/>
      <c r="Y13" s="302"/>
      <c r="Z13" s="302"/>
      <c r="AA13" s="302"/>
      <c r="AB13" s="283"/>
      <c r="AC13" s="283"/>
      <c r="AD13" s="283"/>
      <c r="AE13" s="283"/>
      <c r="AF13" s="283"/>
      <c r="AG13" s="283"/>
      <c r="AH13" s="283"/>
      <c r="AI13" s="283"/>
      <c r="AJ13" s="283"/>
      <c r="AK13" s="283"/>
      <c r="AL13" s="283"/>
      <c r="AM13" s="283"/>
      <c r="AN13" s="283"/>
      <c r="AO13" s="283"/>
      <c r="AP13" s="283"/>
      <c r="AQ13" s="284"/>
      <c r="AR13" s="278" t="s">
        <v>27</v>
      </c>
      <c r="AS13" s="279"/>
      <c r="AT13" s="58"/>
      <c r="AW13" s="39"/>
      <c r="AX13" s="39"/>
      <c r="BE13" s="2">
        <v>2030</v>
      </c>
      <c r="BF13" s="16" t="s">
        <v>31</v>
      </c>
      <c r="BG13" s="16" t="s">
        <v>31</v>
      </c>
    </row>
    <row r="14" spans="1:67" ht="21" customHeight="1">
      <c r="A14" s="56"/>
      <c r="B14" s="287" t="s">
        <v>4</v>
      </c>
      <c r="C14" s="290" t="s">
        <v>29</v>
      </c>
      <c r="D14" s="290"/>
      <c r="E14" s="290"/>
      <c r="F14" s="290"/>
      <c r="G14" s="290"/>
      <c r="H14" s="290"/>
      <c r="I14" s="291"/>
      <c r="J14" s="296" t="s">
        <v>30</v>
      </c>
      <c r="K14" s="296"/>
      <c r="L14" s="296"/>
      <c r="M14" s="296"/>
      <c r="N14" s="296"/>
      <c r="O14" s="296"/>
      <c r="P14" s="296"/>
      <c r="Q14" s="296"/>
      <c r="R14" s="296"/>
      <c r="S14" s="296"/>
      <c r="T14" s="296"/>
      <c r="U14" s="296"/>
      <c r="V14" s="296"/>
      <c r="W14" s="296"/>
      <c r="X14" s="296"/>
      <c r="Y14" s="296"/>
      <c r="Z14" s="296"/>
      <c r="AA14" s="296"/>
      <c r="AB14" s="296" t="s">
        <v>29</v>
      </c>
      <c r="AC14" s="296"/>
      <c r="AD14" s="296"/>
      <c r="AE14" s="296"/>
      <c r="AF14" s="296"/>
      <c r="AG14" s="296"/>
      <c r="AH14" s="296"/>
      <c r="AI14" s="296"/>
      <c r="AJ14" s="296"/>
      <c r="AK14" s="296"/>
      <c r="AL14" s="296"/>
      <c r="AM14" s="296"/>
      <c r="AN14" s="296"/>
      <c r="AO14" s="296"/>
      <c r="AP14" s="296"/>
      <c r="AQ14" s="296"/>
      <c r="AR14" s="296"/>
      <c r="AS14" s="296"/>
      <c r="AT14" s="58"/>
      <c r="AW14" s="55"/>
      <c r="AX14" s="39"/>
      <c r="AY14" s="39"/>
      <c r="AZ14" s="39"/>
      <c r="BA14" s="39"/>
      <c r="BB14" s="39"/>
      <c r="BC14" s="39"/>
      <c r="BD14" s="39"/>
      <c r="BE14" s="2">
        <v>2031</v>
      </c>
      <c r="BF14" s="16" t="s">
        <v>32</v>
      </c>
      <c r="BG14" s="16" t="s">
        <v>32</v>
      </c>
    </row>
    <row r="15" spans="1:67" ht="39.75" customHeight="1">
      <c r="A15" s="56"/>
      <c r="B15" s="288"/>
      <c r="C15" s="292"/>
      <c r="D15" s="292"/>
      <c r="E15" s="292"/>
      <c r="F15" s="292"/>
      <c r="G15" s="292"/>
      <c r="H15" s="292"/>
      <c r="I15" s="293"/>
      <c r="J15" s="282"/>
      <c r="K15" s="282"/>
      <c r="L15" s="282"/>
      <c r="M15" s="282"/>
      <c r="N15" s="282"/>
      <c r="O15" s="282"/>
      <c r="P15" s="282"/>
      <c r="Q15" s="282"/>
      <c r="R15" s="282"/>
      <c r="S15" s="282"/>
      <c r="T15" s="282"/>
      <c r="U15" s="282"/>
      <c r="V15" s="282"/>
      <c r="W15" s="282"/>
      <c r="X15" s="282"/>
      <c r="Y15" s="282"/>
      <c r="Z15" s="282"/>
      <c r="AA15" s="282"/>
      <c r="AB15" s="283"/>
      <c r="AC15" s="283"/>
      <c r="AD15" s="283"/>
      <c r="AE15" s="283"/>
      <c r="AF15" s="283"/>
      <c r="AG15" s="283"/>
      <c r="AH15" s="283"/>
      <c r="AI15" s="283"/>
      <c r="AJ15" s="283"/>
      <c r="AK15" s="283"/>
      <c r="AL15" s="283"/>
      <c r="AM15" s="283"/>
      <c r="AN15" s="283"/>
      <c r="AO15" s="283"/>
      <c r="AP15" s="283"/>
      <c r="AQ15" s="284"/>
      <c r="AR15" s="278" t="s">
        <v>27</v>
      </c>
      <c r="AS15" s="279"/>
      <c r="AT15" s="58"/>
      <c r="AW15" s="39"/>
      <c r="AY15" s="39"/>
      <c r="AZ15" s="39"/>
      <c r="BA15" s="39"/>
      <c r="BB15" s="39"/>
      <c r="BC15" s="39"/>
      <c r="BD15" s="39"/>
      <c r="BE15" s="2">
        <v>2032</v>
      </c>
      <c r="BF15" s="16" t="s">
        <v>33</v>
      </c>
      <c r="BG15" s="16" t="s">
        <v>33</v>
      </c>
    </row>
    <row r="16" spans="1:67" ht="39.75" customHeight="1">
      <c r="A16" s="56"/>
      <c r="B16" s="288"/>
      <c r="C16" s="292"/>
      <c r="D16" s="292"/>
      <c r="E16" s="292"/>
      <c r="F16" s="292"/>
      <c r="G16" s="292"/>
      <c r="H16" s="292"/>
      <c r="I16" s="293"/>
      <c r="J16" s="282"/>
      <c r="K16" s="282"/>
      <c r="L16" s="282"/>
      <c r="M16" s="282"/>
      <c r="N16" s="282"/>
      <c r="O16" s="282"/>
      <c r="P16" s="282"/>
      <c r="Q16" s="282"/>
      <c r="R16" s="282"/>
      <c r="S16" s="282"/>
      <c r="T16" s="282"/>
      <c r="U16" s="282"/>
      <c r="V16" s="282"/>
      <c r="W16" s="282"/>
      <c r="X16" s="282"/>
      <c r="Y16" s="282"/>
      <c r="Z16" s="282"/>
      <c r="AA16" s="282"/>
      <c r="AB16" s="283"/>
      <c r="AC16" s="283"/>
      <c r="AD16" s="283"/>
      <c r="AE16" s="283"/>
      <c r="AF16" s="283"/>
      <c r="AG16" s="283"/>
      <c r="AH16" s="283"/>
      <c r="AI16" s="283"/>
      <c r="AJ16" s="283"/>
      <c r="AK16" s="283"/>
      <c r="AL16" s="283"/>
      <c r="AM16" s="283"/>
      <c r="AN16" s="283"/>
      <c r="AO16" s="283"/>
      <c r="AP16" s="283"/>
      <c r="AQ16" s="284"/>
      <c r="AR16" s="278" t="s">
        <v>27</v>
      </c>
      <c r="AS16" s="279"/>
      <c r="AT16" s="58"/>
      <c r="AW16" s="39"/>
      <c r="AX16" s="39"/>
      <c r="BF16" s="16" t="s">
        <v>34</v>
      </c>
      <c r="BG16" s="16" t="s">
        <v>34</v>
      </c>
    </row>
    <row r="17" spans="1:59" ht="39.75" customHeight="1">
      <c r="A17" s="56"/>
      <c r="B17" s="289"/>
      <c r="C17" s="294"/>
      <c r="D17" s="294"/>
      <c r="E17" s="294"/>
      <c r="F17" s="294"/>
      <c r="G17" s="294"/>
      <c r="H17" s="294"/>
      <c r="I17" s="295"/>
      <c r="J17" s="282"/>
      <c r="K17" s="282"/>
      <c r="L17" s="282"/>
      <c r="M17" s="282"/>
      <c r="N17" s="282"/>
      <c r="O17" s="282"/>
      <c r="P17" s="282"/>
      <c r="Q17" s="282"/>
      <c r="R17" s="282"/>
      <c r="S17" s="282"/>
      <c r="T17" s="282"/>
      <c r="U17" s="282"/>
      <c r="V17" s="282"/>
      <c r="W17" s="282"/>
      <c r="X17" s="282"/>
      <c r="Y17" s="282"/>
      <c r="Z17" s="282"/>
      <c r="AA17" s="282"/>
      <c r="AB17" s="283"/>
      <c r="AC17" s="283"/>
      <c r="AD17" s="283"/>
      <c r="AE17" s="283"/>
      <c r="AF17" s="283"/>
      <c r="AG17" s="283"/>
      <c r="AH17" s="283"/>
      <c r="AI17" s="283"/>
      <c r="AJ17" s="283"/>
      <c r="AK17" s="283"/>
      <c r="AL17" s="283"/>
      <c r="AM17" s="283"/>
      <c r="AN17" s="283"/>
      <c r="AO17" s="283"/>
      <c r="AP17" s="283"/>
      <c r="AQ17" s="284"/>
      <c r="AR17" s="278" t="s">
        <v>27</v>
      </c>
      <c r="AS17" s="279"/>
      <c r="AT17" s="59"/>
      <c r="AW17" s="60"/>
      <c r="AX17" s="39"/>
      <c r="BF17" s="16" t="s">
        <v>17</v>
      </c>
      <c r="BG17" s="16" t="s">
        <v>17</v>
      </c>
    </row>
    <row r="18" spans="1:59" ht="39.75" customHeight="1">
      <c r="A18" s="56"/>
      <c r="B18" s="61" t="s">
        <v>6</v>
      </c>
      <c r="C18" s="285" t="s">
        <v>127</v>
      </c>
      <c r="D18" s="285"/>
      <c r="E18" s="285"/>
      <c r="F18" s="285"/>
      <c r="G18" s="285"/>
      <c r="H18" s="285"/>
      <c r="I18" s="286"/>
      <c r="J18" s="282"/>
      <c r="K18" s="282"/>
      <c r="L18" s="282"/>
      <c r="M18" s="282"/>
      <c r="N18" s="282"/>
      <c r="O18" s="282"/>
      <c r="P18" s="282"/>
      <c r="Q18" s="282"/>
      <c r="R18" s="282"/>
      <c r="S18" s="282"/>
      <c r="T18" s="282"/>
      <c r="U18" s="282"/>
      <c r="V18" s="282"/>
      <c r="W18" s="282"/>
      <c r="X18" s="282"/>
      <c r="Y18" s="282"/>
      <c r="Z18" s="282"/>
      <c r="AA18" s="282"/>
      <c r="AB18" s="283"/>
      <c r="AC18" s="283"/>
      <c r="AD18" s="283"/>
      <c r="AE18" s="283"/>
      <c r="AF18" s="283"/>
      <c r="AG18" s="283"/>
      <c r="AH18" s="283"/>
      <c r="AI18" s="283"/>
      <c r="AJ18" s="283"/>
      <c r="AK18" s="283"/>
      <c r="AL18" s="283"/>
      <c r="AM18" s="283"/>
      <c r="AN18" s="283"/>
      <c r="AO18" s="283"/>
      <c r="AP18" s="283"/>
      <c r="AQ18" s="284"/>
      <c r="AR18" s="278" t="s">
        <v>27</v>
      </c>
      <c r="AS18" s="279"/>
      <c r="AT18" s="59"/>
      <c r="AW18" s="60"/>
      <c r="AX18" s="39"/>
      <c r="BG18" s="16" t="s">
        <v>35</v>
      </c>
    </row>
    <row r="19" spans="1:59" ht="39.75" customHeight="1">
      <c r="A19" s="62"/>
      <c r="B19" s="275" t="s">
        <v>133</v>
      </c>
      <c r="C19" s="275"/>
      <c r="D19" s="275"/>
      <c r="E19" s="275"/>
      <c r="F19" s="275"/>
      <c r="G19" s="275"/>
      <c r="H19" s="275"/>
      <c r="I19" s="275"/>
      <c r="J19" s="275"/>
      <c r="K19" s="275"/>
      <c r="L19" s="275"/>
      <c r="M19" s="275"/>
      <c r="N19" s="275"/>
      <c r="O19" s="275"/>
      <c r="P19" s="275"/>
      <c r="Q19" s="275"/>
      <c r="R19" s="275"/>
      <c r="S19" s="275"/>
      <c r="T19" s="275"/>
      <c r="U19" s="275"/>
      <c r="V19" s="275"/>
      <c r="W19" s="275"/>
      <c r="X19" s="275"/>
      <c r="Y19" s="275"/>
      <c r="Z19" s="275"/>
      <c r="AA19" s="275"/>
      <c r="AB19" s="276" t="str">
        <f>IF(SUM(AB13,AB15:AQ17,-AB18)&gt;0,SUM(AB13,AB15:AQ17,-AB18), "" )</f>
        <v/>
      </c>
      <c r="AC19" s="276"/>
      <c r="AD19" s="276"/>
      <c r="AE19" s="276"/>
      <c r="AF19" s="276"/>
      <c r="AG19" s="276"/>
      <c r="AH19" s="276"/>
      <c r="AI19" s="276"/>
      <c r="AJ19" s="276"/>
      <c r="AK19" s="276"/>
      <c r="AL19" s="276"/>
      <c r="AM19" s="276"/>
      <c r="AN19" s="276"/>
      <c r="AO19" s="276"/>
      <c r="AP19" s="276"/>
      <c r="AQ19" s="277"/>
      <c r="AR19" s="278" t="s">
        <v>27</v>
      </c>
      <c r="AS19" s="279"/>
      <c r="AT19" s="59"/>
      <c r="BG19" s="16" t="s">
        <v>36</v>
      </c>
    </row>
    <row r="20" spans="1:59" ht="17.25" customHeight="1">
      <c r="A20" s="63"/>
      <c r="B20" s="64"/>
      <c r="C20" s="65"/>
      <c r="D20" s="65"/>
      <c r="E20" s="65"/>
      <c r="F20" s="65"/>
      <c r="G20" s="65"/>
      <c r="H20" s="65"/>
      <c r="I20" s="65"/>
      <c r="J20" s="65"/>
      <c r="K20" s="65"/>
      <c r="L20" s="65"/>
      <c r="M20" s="65"/>
      <c r="N20" s="65"/>
      <c r="O20" s="65"/>
      <c r="P20" s="65"/>
      <c r="Q20" s="65"/>
      <c r="R20" s="65"/>
      <c r="S20" s="65"/>
      <c r="T20" s="65"/>
      <c r="U20" s="65"/>
      <c r="V20" s="65"/>
      <c r="W20" s="65"/>
      <c r="X20" s="66"/>
      <c r="Y20" s="66"/>
      <c r="Z20" s="66"/>
      <c r="AA20" s="66"/>
      <c r="AB20" s="66"/>
      <c r="AC20" s="66"/>
      <c r="AD20" s="66"/>
      <c r="AE20" s="66"/>
      <c r="AF20" s="66"/>
      <c r="AG20" s="66"/>
      <c r="AH20" s="66"/>
      <c r="AI20" s="66"/>
      <c r="AJ20" s="67"/>
      <c r="AK20" s="67"/>
      <c r="AL20" s="68"/>
      <c r="AM20" s="68"/>
      <c r="AN20" s="68"/>
      <c r="AO20" s="68"/>
      <c r="AP20" s="68"/>
      <c r="AQ20" s="68"/>
      <c r="AR20" s="68"/>
      <c r="AS20" s="69"/>
      <c r="AT20" s="59"/>
      <c r="AX20" s="39"/>
      <c r="BG20" s="16" t="s">
        <v>38</v>
      </c>
    </row>
    <row r="21" spans="1:59" ht="18.75" customHeight="1">
      <c r="A21" s="70" t="s">
        <v>37</v>
      </c>
      <c r="B21" s="71"/>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2"/>
      <c r="AC21" s="71"/>
      <c r="AD21" s="71"/>
      <c r="AE21" s="71"/>
      <c r="AF21" s="71"/>
      <c r="AG21" s="71"/>
      <c r="AH21" s="71"/>
      <c r="AI21" s="71"/>
      <c r="AJ21" s="71"/>
      <c r="AK21" s="68"/>
      <c r="AL21" s="68"/>
      <c r="AM21" s="68"/>
      <c r="AN21" s="68"/>
      <c r="AO21" s="68"/>
      <c r="AP21" s="68"/>
      <c r="AQ21" s="68"/>
      <c r="AR21" s="69"/>
      <c r="AS21" s="69"/>
      <c r="AT21" s="59"/>
      <c r="BG21" s="16" t="s">
        <v>40</v>
      </c>
    </row>
    <row r="22" spans="1:59" ht="18.75" customHeight="1">
      <c r="A22" s="73"/>
      <c r="B22" s="51"/>
      <c r="C22" s="51"/>
      <c r="D22" s="51"/>
      <c r="E22" s="51"/>
      <c r="F22" s="51"/>
      <c r="G22" s="51"/>
      <c r="H22" s="51"/>
      <c r="I22" s="51"/>
      <c r="J22" s="74"/>
      <c r="K22" s="74"/>
      <c r="L22" s="74"/>
      <c r="M22" s="280" t="s">
        <v>163</v>
      </c>
      <c r="N22" s="280"/>
      <c r="O22" s="280"/>
      <c r="P22" s="280"/>
      <c r="Q22" s="280"/>
      <c r="R22" s="280"/>
      <c r="S22" s="280"/>
      <c r="T22" s="280"/>
      <c r="U22" s="51"/>
      <c r="V22" s="51"/>
      <c r="W22" s="51"/>
      <c r="X22" s="51"/>
      <c r="Y22" s="265" t="s">
        <v>39</v>
      </c>
      <c r="Z22" s="265"/>
      <c r="AA22" s="265"/>
      <c r="AB22" s="265"/>
      <c r="AC22" s="265"/>
      <c r="AD22" s="265"/>
      <c r="AE22" s="265"/>
      <c r="AF22" s="265"/>
      <c r="AG22" s="74"/>
      <c r="AH22" s="74"/>
      <c r="AI22" s="74"/>
      <c r="AJ22" s="74"/>
      <c r="AK22" s="281"/>
      <c r="AL22" s="281"/>
      <c r="AM22" s="281"/>
      <c r="AN22" s="281"/>
      <c r="AO22" s="281"/>
      <c r="AP22" s="281"/>
      <c r="AQ22" s="281"/>
      <c r="AR22" s="281"/>
      <c r="AS22" s="69"/>
      <c r="AT22" s="59"/>
      <c r="BG22" s="16" t="s">
        <v>46</v>
      </c>
    </row>
    <row r="23" spans="1:59" ht="39.75" customHeight="1">
      <c r="A23" s="73"/>
      <c r="B23" s="254" t="s">
        <v>41</v>
      </c>
      <c r="C23" s="254"/>
      <c r="D23" s="254"/>
      <c r="E23" s="254"/>
      <c r="F23" s="254"/>
      <c r="G23" s="254"/>
      <c r="H23" s="254"/>
      <c r="J23" s="75"/>
      <c r="L23" s="75"/>
      <c r="M23" s="266" t="str">
        <f>IF(J7=0,"",J7)</f>
        <v/>
      </c>
      <c r="N23" s="267"/>
      <c r="O23" s="267"/>
      <c r="P23" s="267"/>
      <c r="Q23" s="267"/>
      <c r="R23" s="267"/>
      <c r="S23" s="267"/>
      <c r="T23" s="268"/>
      <c r="U23" s="224" t="s">
        <v>43</v>
      </c>
      <c r="V23" s="215"/>
      <c r="X23" s="75"/>
      <c r="Y23" s="221" t="str">
        <f>IF(AP8="","",AY8)</f>
        <v/>
      </c>
      <c r="Z23" s="222"/>
      <c r="AA23" s="222"/>
      <c r="AB23" s="222"/>
      <c r="AC23" s="222"/>
      <c r="AD23" s="222"/>
      <c r="AE23" s="222"/>
      <c r="AF23" s="223"/>
      <c r="AG23" s="224" t="s">
        <v>15</v>
      </c>
      <c r="AH23" s="215"/>
      <c r="AJ23" s="75"/>
      <c r="AK23" s="206" t="s">
        <v>45</v>
      </c>
      <c r="AL23" s="206"/>
      <c r="AM23" s="206"/>
      <c r="AN23" s="206"/>
      <c r="AO23" s="206"/>
      <c r="AP23" s="206"/>
      <c r="AQ23" s="206"/>
      <c r="AR23" s="206"/>
      <c r="AS23" s="69"/>
      <c r="AT23" s="59"/>
      <c r="AX23" s="76"/>
      <c r="BG23" s="16" t="s">
        <v>47</v>
      </c>
    </row>
    <row r="24" spans="1:59" ht="19.5" customHeight="1">
      <c r="A24" s="77"/>
      <c r="B24" s="225" t="str">
        <f>AB19</f>
        <v/>
      </c>
      <c r="C24" s="226"/>
      <c r="D24" s="226"/>
      <c r="E24" s="226"/>
      <c r="F24" s="226"/>
      <c r="G24" s="226"/>
      <c r="H24" s="227"/>
      <c r="I24" s="224" t="s">
        <v>27</v>
      </c>
      <c r="J24" s="215"/>
      <c r="K24" s="215" t="s">
        <v>42</v>
      </c>
      <c r="L24" s="215"/>
      <c r="M24" s="78"/>
      <c r="N24" s="78"/>
      <c r="O24" s="78"/>
      <c r="P24" s="78"/>
      <c r="Q24" s="78"/>
      <c r="R24" s="78"/>
      <c r="S24" s="78"/>
      <c r="T24" s="78"/>
      <c r="U24" s="75"/>
      <c r="V24" s="75"/>
      <c r="W24" s="215" t="s">
        <v>42</v>
      </c>
      <c r="X24" s="215"/>
      <c r="Y24" s="78"/>
      <c r="Z24" s="78"/>
      <c r="AA24" s="78"/>
      <c r="AB24" s="78"/>
      <c r="AC24" s="78"/>
      <c r="AD24" s="78"/>
      <c r="AE24" s="78"/>
      <c r="AF24" s="78"/>
      <c r="AG24" s="79"/>
      <c r="AH24" s="79"/>
      <c r="AI24" s="215" t="s">
        <v>44</v>
      </c>
      <c r="AJ24" s="231"/>
      <c r="AK24" s="269" t="str">
        <f>IF(B24="","",B24*M23/M27*Y23/Y27)</f>
        <v/>
      </c>
      <c r="AL24" s="270"/>
      <c r="AM24" s="270"/>
      <c r="AN24" s="270"/>
      <c r="AO24" s="270"/>
      <c r="AP24" s="270"/>
      <c r="AQ24" s="270"/>
      <c r="AR24" s="271"/>
      <c r="AS24" s="264" t="s">
        <v>27</v>
      </c>
      <c r="AT24" s="219"/>
      <c r="BG24" s="16" t="s">
        <v>48</v>
      </c>
    </row>
    <row r="25" spans="1:59" ht="19.5" customHeight="1">
      <c r="A25" s="77"/>
      <c r="B25" s="228"/>
      <c r="C25" s="229"/>
      <c r="D25" s="229"/>
      <c r="E25" s="229"/>
      <c r="F25" s="229"/>
      <c r="G25" s="229"/>
      <c r="H25" s="230"/>
      <c r="I25" s="224"/>
      <c r="J25" s="215"/>
      <c r="K25" s="215"/>
      <c r="L25" s="215"/>
      <c r="M25" s="74"/>
      <c r="N25" s="74"/>
      <c r="O25" s="74"/>
      <c r="P25" s="74"/>
      <c r="Q25" s="74"/>
      <c r="R25" s="74"/>
      <c r="S25" s="74"/>
      <c r="T25" s="74"/>
      <c r="U25" s="75"/>
      <c r="V25" s="75"/>
      <c r="W25" s="215"/>
      <c r="X25" s="215"/>
      <c r="Y25" s="74"/>
      <c r="Z25" s="74"/>
      <c r="AA25" s="74"/>
      <c r="AB25" s="74"/>
      <c r="AC25" s="80"/>
      <c r="AD25" s="74"/>
      <c r="AE25" s="74"/>
      <c r="AF25" s="74"/>
      <c r="AG25" s="79"/>
      <c r="AH25" s="79"/>
      <c r="AI25" s="215"/>
      <c r="AJ25" s="231"/>
      <c r="AK25" s="272"/>
      <c r="AL25" s="273"/>
      <c r="AM25" s="273"/>
      <c r="AN25" s="273"/>
      <c r="AO25" s="273"/>
      <c r="AP25" s="273"/>
      <c r="AQ25" s="273"/>
      <c r="AR25" s="274"/>
      <c r="AS25" s="264"/>
      <c r="AT25" s="219"/>
      <c r="BG25" s="16" t="s">
        <v>51</v>
      </c>
    </row>
    <row r="26" spans="1:59" ht="18.75" customHeight="1">
      <c r="A26" s="77"/>
      <c r="B26" s="81"/>
      <c r="C26" s="81"/>
      <c r="D26" s="81"/>
      <c r="E26" s="81"/>
      <c r="F26" s="81"/>
      <c r="G26" s="81"/>
      <c r="H26" s="81"/>
      <c r="I26" s="75"/>
      <c r="J26" s="75"/>
      <c r="K26" s="75"/>
      <c r="L26" s="75"/>
      <c r="M26" s="265" t="s">
        <v>49</v>
      </c>
      <c r="N26" s="265"/>
      <c r="O26" s="265"/>
      <c r="P26" s="265"/>
      <c r="Q26" s="265"/>
      <c r="R26" s="265"/>
      <c r="S26" s="265"/>
      <c r="T26" s="265"/>
      <c r="U26" s="75"/>
      <c r="V26" s="75"/>
      <c r="W26" s="75"/>
      <c r="X26" s="75"/>
      <c r="Y26" s="265" t="s">
        <v>50</v>
      </c>
      <c r="Z26" s="265"/>
      <c r="AA26" s="265"/>
      <c r="AB26" s="265"/>
      <c r="AC26" s="265"/>
      <c r="AD26" s="265"/>
      <c r="AE26" s="265"/>
      <c r="AF26" s="265"/>
      <c r="AG26" s="79"/>
      <c r="AH26" s="79"/>
      <c r="AI26" s="75"/>
      <c r="AJ26" s="75"/>
      <c r="AK26" s="81"/>
      <c r="AL26" s="81"/>
      <c r="AM26" s="81"/>
      <c r="AN26" s="81"/>
      <c r="AO26" s="81"/>
      <c r="AP26" s="81"/>
      <c r="AQ26" s="81"/>
      <c r="AR26" s="81"/>
      <c r="AS26" s="68"/>
      <c r="AT26" s="82"/>
      <c r="BG26" s="16" t="s">
        <v>52</v>
      </c>
    </row>
    <row r="27" spans="1:59" ht="39.75" customHeight="1">
      <c r="A27" s="83"/>
      <c r="B27" s="74"/>
      <c r="C27" s="74"/>
      <c r="D27" s="74"/>
      <c r="E27" s="74"/>
      <c r="F27" s="74"/>
      <c r="G27" s="74"/>
      <c r="H27" s="74"/>
      <c r="I27" s="75"/>
      <c r="J27" s="75"/>
      <c r="K27" s="75"/>
      <c r="L27" s="75"/>
      <c r="M27" s="266" t="str">
        <f>IF(AG7=0,"",IF(M23&gt;AG7,"エラー",AG7))</f>
        <v/>
      </c>
      <c r="N27" s="267"/>
      <c r="O27" s="267"/>
      <c r="P27" s="267"/>
      <c r="Q27" s="267"/>
      <c r="R27" s="267"/>
      <c r="S27" s="267"/>
      <c r="T27" s="268"/>
      <c r="U27" s="224" t="s">
        <v>43</v>
      </c>
      <c r="V27" s="215"/>
      <c r="W27" s="75"/>
      <c r="X27" s="75"/>
      <c r="Y27" s="221" t="str">
        <f>IF(AP9="","",IF(Y23&gt;AY9,"エラー",AY9))</f>
        <v/>
      </c>
      <c r="Z27" s="222"/>
      <c r="AA27" s="222"/>
      <c r="AB27" s="222"/>
      <c r="AC27" s="222"/>
      <c r="AD27" s="222"/>
      <c r="AE27" s="222"/>
      <c r="AF27" s="223"/>
      <c r="AG27" s="224" t="s">
        <v>15</v>
      </c>
      <c r="AH27" s="215"/>
      <c r="AI27" s="75"/>
      <c r="AJ27" s="75"/>
      <c r="AS27" s="69"/>
      <c r="AT27" s="59"/>
      <c r="BG27" s="16" t="s">
        <v>54</v>
      </c>
    </row>
    <row r="28" spans="1:59" ht="18.75" customHeight="1">
      <c r="A28" s="70" t="s">
        <v>53</v>
      </c>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71"/>
      <c r="AG28" s="71"/>
      <c r="AH28" s="71"/>
      <c r="AI28" s="71"/>
      <c r="AJ28" s="71"/>
      <c r="AK28" s="71"/>
      <c r="AL28" s="68"/>
      <c r="AM28" s="68"/>
      <c r="AN28" s="68"/>
      <c r="AO28" s="68"/>
      <c r="AP28" s="68"/>
      <c r="AQ28" s="68"/>
      <c r="AR28" s="68"/>
      <c r="AS28" s="69"/>
      <c r="AT28" s="59"/>
      <c r="AW28" s="258" t="s">
        <v>126</v>
      </c>
      <c r="AX28" s="258"/>
      <c r="BG28" s="16" t="s">
        <v>57</v>
      </c>
    </row>
    <row r="29" spans="1:59" ht="39.75" customHeight="1">
      <c r="A29" s="73"/>
      <c r="M29" s="256" t="s">
        <v>55</v>
      </c>
      <c r="N29" s="256"/>
      <c r="O29" s="256"/>
      <c r="P29" s="256"/>
      <c r="Q29" s="256"/>
      <c r="R29" s="256"/>
      <c r="S29" s="256"/>
      <c r="T29" s="256"/>
      <c r="U29" s="84"/>
      <c r="W29" s="84"/>
      <c r="X29" s="259" t="s">
        <v>141</v>
      </c>
      <c r="Y29" s="259"/>
      <c r="Z29" s="259"/>
      <c r="AA29" s="259"/>
      <c r="AB29" s="259"/>
      <c r="AC29" s="259"/>
      <c r="AD29" s="259"/>
      <c r="AE29" s="259"/>
      <c r="AF29" s="259"/>
      <c r="AG29" s="259"/>
      <c r="AH29" s="259"/>
      <c r="AI29" s="84"/>
      <c r="AJ29" s="84"/>
      <c r="AK29" s="260" t="s">
        <v>56</v>
      </c>
      <c r="AL29" s="260"/>
      <c r="AM29" s="260"/>
      <c r="AN29" s="260"/>
      <c r="AO29" s="260"/>
      <c r="AP29" s="260"/>
      <c r="AQ29" s="260"/>
      <c r="AR29" s="260"/>
      <c r="AS29" s="84"/>
      <c r="AT29" s="85"/>
      <c r="AW29" s="86"/>
      <c r="AX29" s="19"/>
      <c r="BG29" s="16" t="s">
        <v>59</v>
      </c>
    </row>
    <row r="30" spans="1:59" ht="39.75" customHeight="1">
      <c r="A30" s="87"/>
      <c r="M30" s="245" t="str">
        <f>AK24</f>
        <v/>
      </c>
      <c r="N30" s="246"/>
      <c r="O30" s="246"/>
      <c r="P30" s="246"/>
      <c r="Q30" s="246"/>
      <c r="R30" s="246"/>
      <c r="S30" s="246"/>
      <c r="T30" s="247"/>
      <c r="U30" s="209" t="s">
        <v>27</v>
      </c>
      <c r="V30" s="209"/>
      <c r="W30" s="207" t="s">
        <v>42</v>
      </c>
      <c r="X30" s="210"/>
      <c r="Y30" s="261"/>
      <c r="Z30" s="262"/>
      <c r="AA30" s="262"/>
      <c r="AB30" s="262"/>
      <c r="AC30" s="262"/>
      <c r="AD30" s="262"/>
      <c r="AE30" s="262"/>
      <c r="AF30" s="263"/>
      <c r="AG30" s="209" t="s">
        <v>58</v>
      </c>
      <c r="AH30" s="209"/>
      <c r="AI30" s="209" t="s">
        <v>44</v>
      </c>
      <c r="AJ30" s="209"/>
      <c r="AK30" s="245" t="str">
        <f>IF(Y30="","",M30*Y30/100)</f>
        <v/>
      </c>
      <c r="AL30" s="246"/>
      <c r="AM30" s="246"/>
      <c r="AN30" s="246"/>
      <c r="AO30" s="246"/>
      <c r="AP30" s="246"/>
      <c r="AQ30" s="246"/>
      <c r="AR30" s="247"/>
      <c r="AS30" s="207" t="s">
        <v>27</v>
      </c>
      <c r="AT30" s="252"/>
      <c r="AW30" s="88" t="s">
        <v>60</v>
      </c>
      <c r="AX30" s="89">
        <v>0.45</v>
      </c>
      <c r="BG30" s="16" t="s">
        <v>61</v>
      </c>
    </row>
    <row r="31" spans="1:59" ht="18.75" customHeight="1">
      <c r="A31" s="87"/>
      <c r="B31" s="51"/>
      <c r="C31" s="90"/>
      <c r="D31" s="90"/>
      <c r="E31" s="90"/>
      <c r="F31" s="90"/>
      <c r="G31" s="90"/>
      <c r="H31" s="90"/>
      <c r="I31" s="90"/>
      <c r="J31" s="10"/>
      <c r="K31" s="10"/>
      <c r="L31" s="10"/>
      <c r="M31" s="10"/>
      <c r="N31" s="90"/>
      <c r="O31" s="90"/>
      <c r="P31" s="90"/>
      <c r="Q31" s="90"/>
      <c r="R31" s="90"/>
      <c r="S31" s="90"/>
      <c r="T31" s="90"/>
      <c r="U31" s="90"/>
      <c r="V31" s="10"/>
      <c r="W31" s="10"/>
      <c r="X31" s="10"/>
      <c r="Y31" s="10"/>
      <c r="Z31" s="90"/>
      <c r="AA31" s="90"/>
      <c r="AB31" s="90"/>
      <c r="AC31" s="90"/>
      <c r="AD31" s="90"/>
      <c r="AE31" s="90"/>
      <c r="AF31" s="90"/>
      <c r="AG31" s="90"/>
      <c r="AH31" s="10"/>
      <c r="AI31" s="10"/>
      <c r="AJ31" s="10"/>
      <c r="AK31" s="10"/>
      <c r="AL31" s="51"/>
      <c r="AM31" s="51"/>
      <c r="AN31" s="51"/>
      <c r="AO31" s="51"/>
      <c r="AP31" s="51"/>
      <c r="AQ31" s="51"/>
      <c r="AR31" s="51"/>
      <c r="AS31" s="51"/>
      <c r="AT31" s="59"/>
      <c r="AW31" s="88" t="s">
        <v>63</v>
      </c>
      <c r="AX31" s="89">
        <v>0.6</v>
      </c>
      <c r="BG31" s="16" t="s">
        <v>64</v>
      </c>
    </row>
    <row r="32" spans="1:59" ht="33.75" customHeight="1">
      <c r="A32" s="91" t="s">
        <v>62</v>
      </c>
      <c r="B32" s="41"/>
      <c r="C32" s="41"/>
      <c r="D32" s="41"/>
      <c r="E32" s="41"/>
      <c r="F32" s="41"/>
      <c r="G32" s="41"/>
      <c r="H32" s="41"/>
      <c r="I32" s="92"/>
      <c r="J32" s="92"/>
      <c r="K32" s="92"/>
      <c r="L32" s="92"/>
      <c r="M32" s="92"/>
      <c r="N32" s="92"/>
      <c r="O32" s="92"/>
      <c r="P32" s="92"/>
      <c r="Q32" s="92"/>
      <c r="R32" s="92"/>
      <c r="S32" s="92"/>
      <c r="T32" s="92"/>
      <c r="U32" s="92"/>
      <c r="V32" s="92"/>
      <c r="W32" s="92"/>
      <c r="X32" s="92"/>
      <c r="Y32" s="92"/>
      <c r="Z32" s="92"/>
      <c r="AA32" s="92"/>
      <c r="AB32" s="92"/>
      <c r="AC32" s="92"/>
      <c r="AD32" s="92"/>
      <c r="AE32" s="92"/>
      <c r="AF32" s="93"/>
      <c r="AG32" s="93"/>
      <c r="AH32" s="93"/>
      <c r="AI32" s="93"/>
      <c r="AJ32" s="93"/>
      <c r="AK32" s="93"/>
      <c r="AL32" s="93"/>
      <c r="AM32" s="93"/>
      <c r="AN32" s="93"/>
      <c r="AO32" s="93"/>
      <c r="AP32" s="92"/>
      <c r="AQ32" s="92"/>
      <c r="AR32" s="92"/>
      <c r="AS32" s="92"/>
      <c r="AT32" s="94"/>
      <c r="AW32" s="19" t="s">
        <v>66</v>
      </c>
      <c r="AX32" s="89">
        <v>0.45</v>
      </c>
      <c r="BG32" s="16" t="s">
        <v>67</v>
      </c>
    </row>
    <row r="33" spans="1:60" ht="18.75" customHeight="1">
      <c r="A33" s="95"/>
      <c r="B33" s="49"/>
      <c r="C33" s="49"/>
      <c r="D33" s="49"/>
      <c r="E33" s="49"/>
      <c r="F33" s="49"/>
      <c r="G33" s="49"/>
      <c r="H33" s="49"/>
      <c r="AF33" s="96"/>
      <c r="AG33" s="96"/>
      <c r="AH33" s="96"/>
      <c r="AI33" s="96"/>
      <c r="AJ33" s="96"/>
      <c r="AK33" s="96"/>
      <c r="AL33" s="96"/>
      <c r="AM33" s="96"/>
      <c r="AN33" s="96"/>
      <c r="AO33" s="96"/>
      <c r="AT33" s="97"/>
      <c r="AW33" s="19" t="s">
        <v>71</v>
      </c>
      <c r="AX33" s="89">
        <v>0.6</v>
      </c>
      <c r="BE33" s="98"/>
      <c r="BF33" s="98"/>
      <c r="BG33" s="16" t="s">
        <v>72</v>
      </c>
      <c r="BH33" s="98"/>
    </row>
    <row r="34" spans="1:60" ht="18.75" customHeight="1">
      <c r="A34" s="99" t="s">
        <v>65</v>
      </c>
      <c r="B34" s="100"/>
      <c r="C34" s="100"/>
      <c r="D34" s="100"/>
      <c r="E34" s="100"/>
      <c r="F34" s="100"/>
      <c r="G34" s="100"/>
      <c r="H34" s="100"/>
      <c r="I34" s="100"/>
      <c r="J34" s="100"/>
      <c r="K34" s="100"/>
      <c r="L34" s="100"/>
      <c r="M34" s="100"/>
      <c r="N34" s="100"/>
      <c r="O34" s="100"/>
      <c r="P34" s="101"/>
      <c r="Q34" s="100"/>
      <c r="R34" s="100"/>
      <c r="S34" s="100"/>
      <c r="T34" s="100"/>
      <c r="U34" s="100"/>
      <c r="V34" s="100"/>
      <c r="W34" s="100"/>
      <c r="X34" s="100"/>
      <c r="Y34" s="100"/>
      <c r="Z34" s="100"/>
      <c r="AA34" s="100"/>
      <c r="AB34" s="100"/>
      <c r="AC34" s="100"/>
      <c r="AD34" s="100"/>
      <c r="AE34" s="100"/>
      <c r="AF34" s="100"/>
      <c r="AG34" s="100"/>
      <c r="AH34" s="100"/>
      <c r="AI34" s="100"/>
      <c r="AJ34" s="100"/>
      <c r="AK34" s="100"/>
      <c r="AL34" s="100"/>
      <c r="AM34" s="100"/>
      <c r="AN34" s="100"/>
      <c r="AO34" s="100"/>
      <c r="AP34" s="100"/>
      <c r="AQ34" s="100"/>
      <c r="AR34" s="100"/>
      <c r="AS34" s="100"/>
      <c r="AT34" s="102"/>
      <c r="AW34" s="19" t="s">
        <v>73</v>
      </c>
      <c r="AX34" s="89">
        <v>0.75</v>
      </c>
      <c r="AZ34" s="253"/>
      <c r="BA34" s="253"/>
      <c r="BB34" s="39"/>
      <c r="BC34" s="39"/>
      <c r="BD34" s="39"/>
      <c r="BG34" s="16" t="s">
        <v>74</v>
      </c>
    </row>
    <row r="35" spans="1:60" s="98" customFormat="1" ht="18.75" customHeight="1">
      <c r="A35" s="103"/>
      <c r="B35" s="2"/>
      <c r="C35" s="2"/>
      <c r="D35" s="2"/>
      <c r="E35" s="2"/>
      <c r="F35" s="2"/>
      <c r="G35" s="2"/>
      <c r="H35" s="2"/>
      <c r="I35" s="2"/>
      <c r="J35" s="2"/>
      <c r="K35" s="2"/>
      <c r="L35" s="2"/>
      <c r="M35" s="254" t="s">
        <v>68</v>
      </c>
      <c r="N35" s="254"/>
      <c r="O35" s="254"/>
      <c r="P35" s="254"/>
      <c r="Q35" s="254"/>
      <c r="R35" s="254"/>
      <c r="S35" s="254"/>
      <c r="T35" s="254"/>
      <c r="U35" s="84"/>
      <c r="V35" s="84"/>
      <c r="W35" s="104"/>
      <c r="X35" s="2"/>
      <c r="Y35" s="255" t="s">
        <v>69</v>
      </c>
      <c r="Z35" s="255"/>
      <c r="AA35" s="255"/>
      <c r="AB35" s="255"/>
      <c r="AC35" s="255"/>
      <c r="AD35" s="255"/>
      <c r="AE35" s="255"/>
      <c r="AF35" s="255"/>
      <c r="AG35" s="104"/>
      <c r="AH35" s="104"/>
      <c r="AI35" s="84"/>
      <c r="AJ35" s="84"/>
      <c r="AK35" s="256" t="s">
        <v>70</v>
      </c>
      <c r="AL35" s="256"/>
      <c r="AM35" s="256"/>
      <c r="AN35" s="256"/>
      <c r="AO35" s="256"/>
      <c r="AP35" s="256"/>
      <c r="AQ35" s="256"/>
      <c r="AR35" s="256"/>
      <c r="AS35" s="84"/>
      <c r="AT35" s="85"/>
      <c r="AW35" s="19" t="s">
        <v>76</v>
      </c>
      <c r="AX35" s="89">
        <v>0.15</v>
      </c>
      <c r="BA35" s="257"/>
      <c r="BB35" s="257"/>
      <c r="BC35" s="257"/>
      <c r="BD35" s="257"/>
      <c r="BE35" s="257"/>
      <c r="BF35" s="2"/>
      <c r="BG35" s="16" t="s">
        <v>77</v>
      </c>
      <c r="BH35" s="2"/>
    </row>
    <row r="36" spans="1:60" ht="39.75" customHeight="1">
      <c r="A36" s="105"/>
      <c r="M36" s="245" t="str">
        <f>AK30</f>
        <v/>
      </c>
      <c r="N36" s="246"/>
      <c r="O36" s="246"/>
      <c r="P36" s="246"/>
      <c r="Q36" s="246"/>
      <c r="R36" s="246"/>
      <c r="S36" s="246"/>
      <c r="T36" s="247"/>
      <c r="U36" s="209" t="s">
        <v>27</v>
      </c>
      <c r="V36" s="209"/>
      <c r="W36" s="207" t="s">
        <v>42</v>
      </c>
      <c r="X36" s="210"/>
      <c r="Y36" s="248"/>
      <c r="Z36" s="249"/>
      <c r="AA36" s="249"/>
      <c r="AB36" s="249"/>
      <c r="AC36" s="249"/>
      <c r="AD36" s="249"/>
      <c r="AE36" s="249"/>
      <c r="AF36" s="250"/>
      <c r="AG36" s="209" t="s">
        <v>58</v>
      </c>
      <c r="AH36" s="209"/>
      <c r="AI36" s="209" t="s">
        <v>44</v>
      </c>
      <c r="AJ36" s="209"/>
      <c r="AK36" s="238" t="str">
        <f>IF(Y36="", "", ROUNDDOWN(M36 * VLOOKUP(Y36, AW30:AX35, 2, FALSE), -2))</f>
        <v/>
      </c>
      <c r="AL36" s="239"/>
      <c r="AM36" s="239"/>
      <c r="AN36" s="239"/>
      <c r="AO36" s="239"/>
      <c r="AP36" s="239"/>
      <c r="AQ36" s="239"/>
      <c r="AR36" s="240"/>
      <c r="AS36" s="241" t="s">
        <v>27</v>
      </c>
      <c r="AT36" s="242"/>
      <c r="AW36" s="106"/>
      <c r="AX36" s="106"/>
      <c r="BG36" s="16" t="s">
        <v>18</v>
      </c>
    </row>
    <row r="37" spans="1:60" ht="18.75" customHeight="1">
      <c r="A37" s="73"/>
      <c r="C37" s="53"/>
      <c r="D37" s="53"/>
      <c r="E37" s="53"/>
      <c r="F37" s="53"/>
      <c r="G37" s="53"/>
      <c r="H37" s="53"/>
      <c r="I37" s="53"/>
      <c r="J37" s="53"/>
      <c r="K37" s="53"/>
      <c r="L37" s="53"/>
      <c r="M37" s="53"/>
      <c r="N37" s="53"/>
      <c r="S37" s="107"/>
      <c r="T37" s="107"/>
      <c r="U37" s="107"/>
      <c r="V37" s="107"/>
      <c r="W37" s="107"/>
      <c r="X37" s="107"/>
      <c r="Y37" s="98"/>
      <c r="Z37" s="98"/>
      <c r="AA37" s="98"/>
      <c r="AB37" s="98"/>
      <c r="AC37" s="98"/>
      <c r="AD37" s="98"/>
      <c r="AE37" s="98"/>
      <c r="AF37" s="98"/>
      <c r="AG37" s="98"/>
      <c r="AH37" s="98"/>
      <c r="AI37" s="96"/>
      <c r="AJ37" s="96"/>
      <c r="AK37" s="243" t="s">
        <v>75</v>
      </c>
      <c r="AL37" s="243"/>
      <c r="AM37" s="243"/>
      <c r="AN37" s="243"/>
      <c r="AO37" s="243"/>
      <c r="AP37" s="243"/>
      <c r="AQ37" s="243"/>
      <c r="AR37" s="243"/>
      <c r="AS37" s="96"/>
      <c r="AT37" s="108"/>
    </row>
    <row r="38" spans="1:60" ht="21" customHeight="1">
      <c r="A38" s="109" t="s">
        <v>78</v>
      </c>
      <c r="C38" s="39"/>
      <c r="D38" s="39"/>
      <c r="E38" s="39"/>
      <c r="F38" s="39"/>
      <c r="G38" s="39"/>
      <c r="H38" s="39"/>
      <c r="I38" s="39"/>
      <c r="J38" s="39"/>
      <c r="K38" s="39"/>
      <c r="L38" s="39"/>
      <c r="M38" s="39"/>
      <c r="N38" s="39"/>
      <c r="P38" s="110"/>
      <c r="Q38" s="110"/>
      <c r="S38" s="111"/>
      <c r="T38" s="111"/>
      <c r="U38" s="111"/>
      <c r="V38" s="111"/>
      <c r="W38" s="111"/>
      <c r="X38" s="111"/>
      <c r="AB38" s="110"/>
      <c r="AC38" s="110"/>
      <c r="AD38" s="110"/>
      <c r="AE38" s="112"/>
      <c r="AF38" s="112"/>
      <c r="AG38" s="112"/>
      <c r="AH38" s="112"/>
      <c r="AI38" s="112"/>
      <c r="AJ38" s="112"/>
      <c r="AK38" s="112"/>
      <c r="AL38" s="112"/>
      <c r="AM38" s="112"/>
      <c r="AN38" s="112"/>
      <c r="AO38" s="112"/>
      <c r="AP38" s="113"/>
      <c r="AQ38" s="113"/>
      <c r="AT38" s="97"/>
    </row>
    <row r="39" spans="1:60" ht="18.75" customHeight="1">
      <c r="A39" s="73"/>
      <c r="B39" s="51"/>
      <c r="C39" s="51"/>
      <c r="D39" s="51"/>
      <c r="E39" s="51"/>
      <c r="F39" s="51"/>
      <c r="G39" s="51"/>
      <c r="H39" s="51"/>
      <c r="I39" s="51"/>
      <c r="J39" s="74"/>
      <c r="K39" s="74"/>
      <c r="L39" s="251" t="s">
        <v>135</v>
      </c>
      <c r="M39" s="251"/>
      <c r="N39" s="251"/>
      <c r="O39" s="251"/>
      <c r="P39" s="251"/>
      <c r="Q39" s="251"/>
      <c r="R39" s="251"/>
      <c r="S39" s="251"/>
      <c r="T39" s="251"/>
      <c r="U39" s="251"/>
      <c r="V39" s="51"/>
      <c r="W39" s="51"/>
      <c r="Y39" s="80" t="s">
        <v>116</v>
      </c>
      <c r="Z39" s="80"/>
      <c r="AA39" s="80"/>
      <c r="AB39" s="80"/>
      <c r="AC39" s="80"/>
      <c r="AD39" s="80"/>
      <c r="AE39" s="80"/>
      <c r="AF39" s="80"/>
      <c r="AG39" s="80"/>
      <c r="AH39" s="74"/>
      <c r="AI39" s="75"/>
      <c r="AJ39" s="75"/>
      <c r="AK39" s="69"/>
      <c r="AL39" s="69"/>
      <c r="AM39" s="69"/>
      <c r="AN39" s="69"/>
      <c r="AO39" s="69"/>
      <c r="AP39" s="69"/>
      <c r="AQ39" s="69"/>
      <c r="AR39" s="69"/>
      <c r="AS39" s="69"/>
      <c r="AT39" s="59"/>
      <c r="BE39" s="98"/>
      <c r="BF39" s="98"/>
      <c r="BG39" s="98"/>
      <c r="BH39" s="98"/>
    </row>
    <row r="40" spans="1:60" ht="39.75" customHeight="1">
      <c r="A40" s="73"/>
      <c r="B40" s="244" t="s">
        <v>164</v>
      </c>
      <c r="C40" s="244"/>
      <c r="D40" s="244"/>
      <c r="E40" s="244"/>
      <c r="F40" s="244"/>
      <c r="G40" s="244"/>
      <c r="H40" s="244"/>
      <c r="J40" s="75"/>
      <c r="L40" s="251"/>
      <c r="M40" s="251"/>
      <c r="N40" s="251"/>
      <c r="O40" s="251"/>
      <c r="P40" s="251"/>
      <c r="Q40" s="251"/>
      <c r="R40" s="251"/>
      <c r="S40" s="251"/>
      <c r="T40" s="251"/>
      <c r="U40" s="251"/>
      <c r="V40" s="75"/>
      <c r="W40" s="75"/>
      <c r="X40" s="75"/>
      <c r="Y40" s="221" t="str">
        <f>IF(AP8="","",IF(BA8=BC8,0,BA8))</f>
        <v/>
      </c>
      <c r="Z40" s="222"/>
      <c r="AA40" s="222"/>
      <c r="AB40" s="222"/>
      <c r="AC40" s="222"/>
      <c r="AD40" s="222"/>
      <c r="AE40" s="222"/>
      <c r="AF40" s="223"/>
      <c r="AG40" s="224" t="s">
        <v>15</v>
      </c>
      <c r="AH40" s="215"/>
      <c r="AI40" s="75"/>
      <c r="AJ40" s="75"/>
      <c r="AK40" s="206"/>
      <c r="AL40" s="206"/>
      <c r="AM40" s="206"/>
      <c r="AN40" s="206"/>
      <c r="AO40" s="206"/>
      <c r="AP40" s="206"/>
      <c r="AQ40" s="206"/>
      <c r="AR40" s="206"/>
      <c r="AS40" s="69"/>
      <c r="AT40" s="59"/>
      <c r="BE40" s="98"/>
      <c r="BF40" s="98"/>
      <c r="BG40" s="98"/>
      <c r="BH40" s="98"/>
    </row>
    <row r="41" spans="1:60" s="98" customFormat="1" ht="21" customHeight="1">
      <c r="A41" s="77"/>
      <c r="B41" s="225" t="str">
        <f>IF(J7=0,"",J7)</f>
        <v/>
      </c>
      <c r="C41" s="226"/>
      <c r="D41" s="226"/>
      <c r="E41" s="226"/>
      <c r="F41" s="226"/>
      <c r="G41" s="226"/>
      <c r="H41" s="227"/>
      <c r="I41" s="224" t="s">
        <v>43</v>
      </c>
      <c r="J41" s="215"/>
      <c r="K41" s="215" t="s">
        <v>115</v>
      </c>
      <c r="L41" s="231"/>
      <c r="M41" s="232" t="str">
        <f>IF(AP8="","",IF(BA8=BC8,AZ8+1,AZ8))</f>
        <v/>
      </c>
      <c r="N41" s="233"/>
      <c r="O41" s="233"/>
      <c r="P41" s="233"/>
      <c r="Q41" s="233"/>
      <c r="R41" s="233"/>
      <c r="S41" s="233"/>
      <c r="T41" s="234"/>
      <c r="U41" s="224" t="s">
        <v>80</v>
      </c>
      <c r="V41" s="215"/>
      <c r="W41" s="215" t="s">
        <v>114</v>
      </c>
      <c r="X41" s="215"/>
      <c r="Y41" s="78"/>
      <c r="Z41" s="78"/>
      <c r="AA41" s="78"/>
      <c r="AB41" s="78"/>
      <c r="AC41" s="78"/>
      <c r="AD41" s="78"/>
      <c r="AE41" s="78"/>
      <c r="AF41" s="78"/>
      <c r="AG41" s="79"/>
      <c r="AH41" s="79"/>
      <c r="AI41" s="215" t="s">
        <v>104</v>
      </c>
      <c r="AJ41" s="215"/>
      <c r="AL41" s="217" t="s">
        <v>113</v>
      </c>
      <c r="AM41" s="217"/>
      <c r="AN41" s="217"/>
      <c r="AO41" s="217"/>
      <c r="AS41" s="218"/>
      <c r="AT41" s="219"/>
    </row>
    <row r="42" spans="1:60" s="98" customFormat="1" ht="21" customHeight="1">
      <c r="A42" s="77"/>
      <c r="B42" s="228"/>
      <c r="C42" s="229"/>
      <c r="D42" s="229"/>
      <c r="E42" s="229"/>
      <c r="F42" s="229"/>
      <c r="G42" s="229"/>
      <c r="H42" s="230"/>
      <c r="I42" s="224"/>
      <c r="J42" s="215"/>
      <c r="K42" s="215"/>
      <c r="L42" s="231"/>
      <c r="M42" s="235"/>
      <c r="N42" s="236"/>
      <c r="O42" s="236"/>
      <c r="P42" s="236"/>
      <c r="Q42" s="236"/>
      <c r="R42" s="236"/>
      <c r="S42" s="236"/>
      <c r="T42" s="237"/>
      <c r="U42" s="224"/>
      <c r="V42" s="215"/>
      <c r="W42" s="215"/>
      <c r="X42" s="215"/>
      <c r="Y42" s="74"/>
      <c r="Z42" s="74"/>
      <c r="AA42" s="74"/>
      <c r="AB42" s="74"/>
      <c r="AC42" s="74"/>
      <c r="AD42" s="74"/>
      <c r="AE42" s="74"/>
      <c r="AF42" s="74"/>
      <c r="AG42" s="79"/>
      <c r="AH42" s="79"/>
      <c r="AI42" s="215"/>
      <c r="AJ42" s="215"/>
      <c r="AL42" s="217"/>
      <c r="AM42" s="217"/>
      <c r="AN42" s="217"/>
      <c r="AO42" s="217"/>
      <c r="AS42" s="218"/>
      <c r="AT42" s="219"/>
      <c r="BE42" s="2"/>
      <c r="BF42" s="2"/>
      <c r="BG42" s="2"/>
      <c r="BH42" s="2"/>
    </row>
    <row r="43" spans="1:60" s="98" customFormat="1" ht="18.75" customHeight="1">
      <c r="A43" s="77"/>
      <c r="B43" s="114"/>
      <c r="C43" s="114"/>
      <c r="D43" s="114"/>
      <c r="E43" s="114"/>
      <c r="F43" s="114"/>
      <c r="G43" s="114"/>
      <c r="H43" s="114"/>
      <c r="I43" s="75"/>
      <c r="J43" s="75"/>
      <c r="K43" s="75"/>
      <c r="L43" s="75"/>
      <c r="M43" s="115"/>
      <c r="N43" s="115"/>
      <c r="O43" s="115"/>
      <c r="P43" s="115"/>
      <c r="Q43" s="115"/>
      <c r="R43" s="115"/>
      <c r="S43" s="115"/>
      <c r="T43" s="115"/>
      <c r="U43" s="75"/>
      <c r="V43" s="75"/>
      <c r="W43" s="75"/>
      <c r="Y43" s="80" t="s">
        <v>117</v>
      </c>
      <c r="Z43" s="80"/>
      <c r="AA43" s="80"/>
      <c r="AB43" s="80"/>
      <c r="AC43" s="80"/>
      <c r="AD43" s="80"/>
      <c r="AE43" s="80"/>
      <c r="AF43" s="80"/>
      <c r="AG43" s="80"/>
      <c r="AH43" s="80"/>
      <c r="AI43" s="80"/>
      <c r="AJ43" s="75"/>
      <c r="AM43" s="116"/>
      <c r="AN43" s="116"/>
      <c r="AO43" s="116"/>
      <c r="AP43" s="116"/>
      <c r="AQ43" s="116"/>
      <c r="AS43" s="68"/>
      <c r="AT43" s="82"/>
      <c r="BE43" s="2"/>
      <c r="BF43" s="2"/>
      <c r="BG43" s="2"/>
      <c r="BH43" s="2"/>
    </row>
    <row r="44" spans="1:60" ht="39.75" customHeight="1">
      <c r="A44" s="83"/>
      <c r="B44" s="74"/>
      <c r="C44" s="74"/>
      <c r="D44" s="74"/>
      <c r="E44" s="74"/>
      <c r="F44" s="74"/>
      <c r="G44" s="74"/>
      <c r="H44" s="74"/>
      <c r="I44" s="75"/>
      <c r="J44" s="75"/>
      <c r="K44" s="75"/>
      <c r="L44" s="75"/>
      <c r="M44" s="220"/>
      <c r="N44" s="220"/>
      <c r="O44" s="220"/>
      <c r="P44" s="220"/>
      <c r="Q44" s="220"/>
      <c r="R44" s="220"/>
      <c r="S44" s="220"/>
      <c r="T44" s="220"/>
      <c r="U44" s="75"/>
      <c r="V44" s="75"/>
      <c r="W44" s="75"/>
      <c r="X44" s="75"/>
      <c r="Y44" s="221" t="str">
        <f>IF(AP8="","",IF(BA8=BC8,0,IF(BC8=28,28,IF(BC8=29,29,IF(BC8=30,30,IF(BC8=31,31,))))))</f>
        <v/>
      </c>
      <c r="Z44" s="222"/>
      <c r="AA44" s="222"/>
      <c r="AB44" s="222"/>
      <c r="AC44" s="222"/>
      <c r="AD44" s="222"/>
      <c r="AE44" s="222"/>
      <c r="AF44" s="223"/>
      <c r="AG44" s="224" t="s">
        <v>15</v>
      </c>
      <c r="AH44" s="215"/>
      <c r="AI44" s="75"/>
      <c r="AJ44" s="75"/>
      <c r="AK44" s="50"/>
      <c r="AL44" s="50"/>
      <c r="AM44" s="50"/>
      <c r="AN44" s="50"/>
      <c r="AO44" s="50"/>
      <c r="AP44" s="50"/>
      <c r="AQ44" s="50"/>
      <c r="AR44" s="50"/>
      <c r="AS44" s="69"/>
      <c r="AT44" s="59"/>
    </row>
    <row r="45" spans="1:60" ht="18.75" customHeight="1">
      <c r="A45" s="73"/>
      <c r="K45" s="117"/>
      <c r="L45" s="110"/>
      <c r="M45" s="118"/>
      <c r="N45" s="118"/>
      <c r="O45" s="118"/>
      <c r="P45" s="118"/>
      <c r="Q45" s="118"/>
      <c r="R45" s="118"/>
      <c r="S45" s="118"/>
      <c r="T45" s="118"/>
      <c r="W45" s="117"/>
      <c r="X45" s="216" t="s">
        <v>140</v>
      </c>
      <c r="Y45" s="216"/>
      <c r="Z45" s="216"/>
      <c r="AA45" s="216"/>
      <c r="AB45" s="216"/>
      <c r="AC45" s="216"/>
      <c r="AD45" s="216"/>
      <c r="AE45" s="216"/>
      <c r="AF45" s="216"/>
      <c r="AG45" s="216"/>
      <c r="AJ45" s="117"/>
      <c r="AK45" s="50"/>
      <c r="AL45" s="50"/>
      <c r="AM45" s="50"/>
      <c r="AN45" s="50"/>
      <c r="AO45" s="50"/>
      <c r="AP45" s="50"/>
      <c r="AQ45" s="50"/>
      <c r="AR45" s="50"/>
      <c r="AS45" s="107"/>
      <c r="AT45" s="97"/>
    </row>
    <row r="46" spans="1:60" ht="18.75" customHeight="1">
      <c r="A46" s="73"/>
      <c r="K46" s="117"/>
      <c r="L46" s="50"/>
      <c r="M46" s="206" t="s">
        <v>79</v>
      </c>
      <c r="N46" s="206"/>
      <c r="O46" s="206"/>
      <c r="P46" s="206"/>
      <c r="Q46" s="206"/>
      <c r="R46" s="206"/>
      <c r="S46" s="206"/>
      <c r="T46" s="206"/>
      <c r="W46" s="117"/>
      <c r="X46" s="216"/>
      <c r="Y46" s="216"/>
      <c r="Z46" s="216"/>
      <c r="AA46" s="216"/>
      <c r="AB46" s="216"/>
      <c r="AC46" s="216"/>
      <c r="AD46" s="216"/>
      <c r="AE46" s="216"/>
      <c r="AF46" s="216"/>
      <c r="AG46" s="216"/>
      <c r="AI46" s="75"/>
      <c r="AJ46" s="75"/>
      <c r="AK46" s="206" t="s">
        <v>81</v>
      </c>
      <c r="AL46" s="206"/>
      <c r="AM46" s="206"/>
      <c r="AN46" s="206"/>
      <c r="AO46" s="206"/>
      <c r="AP46" s="206"/>
      <c r="AQ46" s="206"/>
      <c r="AR46" s="206"/>
      <c r="AS46" s="69"/>
      <c r="AT46" s="59"/>
    </row>
    <row r="47" spans="1:60" ht="39.75" customHeight="1">
      <c r="A47" s="73"/>
      <c r="K47" s="207" t="s">
        <v>42</v>
      </c>
      <c r="L47" s="207"/>
      <c r="M47" s="208">
        <v>20000</v>
      </c>
      <c r="N47" s="208"/>
      <c r="O47" s="208"/>
      <c r="P47" s="208"/>
      <c r="Q47" s="208"/>
      <c r="R47" s="208"/>
      <c r="S47" s="208"/>
      <c r="T47" s="208"/>
      <c r="U47" s="209" t="s">
        <v>27</v>
      </c>
      <c r="V47" s="209"/>
      <c r="W47" s="207" t="s">
        <v>142</v>
      </c>
      <c r="X47" s="210"/>
      <c r="Y47" s="211"/>
      <c r="Z47" s="212"/>
      <c r="AA47" s="212"/>
      <c r="AB47" s="212"/>
      <c r="AC47" s="212"/>
      <c r="AD47" s="212"/>
      <c r="AE47" s="212"/>
      <c r="AF47" s="213"/>
      <c r="AG47" s="214" t="s">
        <v>27</v>
      </c>
      <c r="AH47" s="209"/>
      <c r="AI47" s="215" t="s">
        <v>44</v>
      </c>
      <c r="AJ47" s="215"/>
      <c r="AK47" s="199" t="str">
        <f>IF(Y36="", "", IF(B41*(M41+IF(Y44=0, 0,Y40/Y44)) *20000&lt;Y47,"エラー",ROUNDDOWN(B41*(M41+IF(Y44=0, 0,Y40/Y44)) *20000-IF(Y36=AW35,Y47,0), -2)))</f>
        <v/>
      </c>
      <c r="AL47" s="199"/>
      <c r="AM47" s="199"/>
      <c r="AN47" s="199"/>
      <c r="AO47" s="199"/>
      <c r="AP47" s="199"/>
      <c r="AQ47" s="199"/>
      <c r="AR47" s="199"/>
      <c r="AS47" s="68" t="s">
        <v>27</v>
      </c>
      <c r="AT47" s="82"/>
    </row>
    <row r="48" spans="1:60" ht="18.75" customHeight="1">
      <c r="A48" s="73"/>
      <c r="K48" s="117"/>
      <c r="L48" s="110"/>
      <c r="M48" s="110"/>
      <c r="W48" s="117"/>
      <c r="X48" s="50"/>
      <c r="Y48" s="119"/>
      <c r="Z48" s="119"/>
      <c r="AA48" s="119"/>
      <c r="AB48" s="119"/>
      <c r="AC48" s="119"/>
      <c r="AD48" s="119"/>
      <c r="AE48" s="119"/>
      <c r="AF48" s="119"/>
      <c r="AI48" s="75"/>
      <c r="AJ48" s="75"/>
      <c r="AK48" s="200" t="s">
        <v>82</v>
      </c>
      <c r="AL48" s="200"/>
      <c r="AM48" s="200"/>
      <c r="AN48" s="200"/>
      <c r="AO48" s="200"/>
      <c r="AP48" s="200"/>
      <c r="AQ48" s="200"/>
      <c r="AR48" s="200"/>
      <c r="AS48" s="50"/>
      <c r="AT48" s="82"/>
      <c r="BE48" s="120"/>
      <c r="BF48" s="120"/>
      <c r="BG48" s="10"/>
      <c r="BH48" s="10"/>
    </row>
    <row r="49" spans="1:60" ht="13.5" customHeight="1" thickBot="1">
      <c r="A49" s="73"/>
      <c r="K49" s="117"/>
      <c r="L49" s="110"/>
      <c r="M49" s="110"/>
      <c r="W49" s="117"/>
      <c r="X49" s="50"/>
      <c r="Y49" s="119"/>
      <c r="Z49" s="119"/>
      <c r="AA49" s="119"/>
      <c r="AB49" s="119"/>
      <c r="AC49" s="119"/>
      <c r="AD49" s="119"/>
      <c r="AE49" s="119"/>
      <c r="AF49" s="119"/>
      <c r="AI49" s="75"/>
      <c r="AJ49" s="75"/>
      <c r="AK49" s="121"/>
      <c r="AL49" s="121"/>
      <c r="AM49" s="121"/>
      <c r="AN49" s="121"/>
      <c r="AO49" s="121"/>
      <c r="AP49" s="121"/>
      <c r="AQ49" s="121"/>
      <c r="AR49" s="121"/>
      <c r="AS49" s="50"/>
      <c r="AT49" s="82"/>
      <c r="BE49" s="120"/>
      <c r="BF49" s="120"/>
      <c r="BG49" s="10"/>
      <c r="BH49" s="10"/>
    </row>
    <row r="50" spans="1:60" ht="39.75" customHeight="1" thickTop="1" thickBot="1">
      <c r="A50" s="122" t="s">
        <v>110</v>
      </c>
      <c r="K50" s="53"/>
      <c r="L50" s="53"/>
      <c r="M50" s="53"/>
      <c r="N50" s="53"/>
      <c r="S50" s="52"/>
      <c r="U50" s="52"/>
      <c r="V50" s="52"/>
      <c r="W50" s="52"/>
      <c r="X50" s="52"/>
      <c r="AE50" s="123"/>
      <c r="AF50" s="96"/>
      <c r="AG50" s="96"/>
      <c r="AH50" s="96"/>
      <c r="AI50" s="75"/>
      <c r="AJ50" s="124"/>
      <c r="AK50" s="201" t="str">
        <f>IF(AK47="","",IF(AK47="エラー","エラー",MIN(AK47,AK36 )))</f>
        <v/>
      </c>
      <c r="AL50" s="202"/>
      <c r="AM50" s="202"/>
      <c r="AN50" s="202"/>
      <c r="AO50" s="202"/>
      <c r="AP50" s="202"/>
      <c r="AQ50" s="202"/>
      <c r="AR50" s="203"/>
      <c r="AS50" s="68" t="s">
        <v>27</v>
      </c>
      <c r="AT50" s="82"/>
    </row>
    <row r="51" spans="1:60" s="10" customFormat="1" ht="15.75" customHeight="1" thickTop="1" thickBot="1">
      <c r="A51" s="125"/>
      <c r="B51" s="126"/>
      <c r="C51" s="126"/>
      <c r="D51" s="126"/>
      <c r="E51" s="126"/>
      <c r="F51" s="126"/>
      <c r="G51" s="126"/>
      <c r="H51" s="126"/>
      <c r="I51" s="126"/>
      <c r="J51" s="126"/>
      <c r="K51" s="126"/>
      <c r="L51" s="126"/>
      <c r="M51" s="126"/>
      <c r="N51" s="126"/>
      <c r="O51" s="126"/>
      <c r="P51" s="126"/>
      <c r="Q51" s="126"/>
      <c r="R51" s="126"/>
      <c r="S51" s="127"/>
      <c r="T51" s="127"/>
      <c r="U51" s="127"/>
      <c r="V51" s="127"/>
      <c r="W51" s="127"/>
      <c r="X51" s="127"/>
      <c r="Y51" s="126"/>
      <c r="Z51" s="126"/>
      <c r="AA51" s="126"/>
      <c r="AB51" s="126"/>
      <c r="AC51" s="126"/>
      <c r="AD51" s="126"/>
      <c r="AE51" s="128"/>
      <c r="AF51" s="128"/>
      <c r="AG51" s="128"/>
      <c r="AH51" s="128"/>
      <c r="AI51" s="128"/>
      <c r="AJ51" s="128"/>
      <c r="AK51" s="128"/>
      <c r="AL51" s="128"/>
      <c r="AM51" s="128"/>
      <c r="AN51" s="128"/>
      <c r="AO51" s="128"/>
      <c r="AP51" s="129"/>
      <c r="AQ51" s="129"/>
      <c r="AR51" s="126"/>
      <c r="AS51" s="126"/>
      <c r="AT51" s="130"/>
      <c r="AU51" s="131"/>
      <c r="AV51" s="131"/>
      <c r="AW51" s="132"/>
      <c r="AX51" s="131"/>
      <c r="AY51" s="120"/>
      <c r="AZ51" s="120"/>
      <c r="BA51" s="120"/>
      <c r="BB51" s="120"/>
      <c r="BC51" s="120"/>
      <c r="BD51" s="120"/>
      <c r="BE51" s="2"/>
      <c r="BF51" s="2"/>
      <c r="BG51" s="2"/>
      <c r="BH51" s="2"/>
    </row>
    <row r="52" spans="1:60" ht="16.5" customHeight="1">
      <c r="A52" s="133" t="s">
        <v>83</v>
      </c>
      <c r="B52" s="13"/>
      <c r="C52" s="13"/>
      <c r="D52" s="13"/>
      <c r="E52" s="13"/>
      <c r="F52" s="13"/>
      <c r="G52" s="13"/>
      <c r="H52" s="13"/>
      <c r="I52" s="13"/>
      <c r="J52" s="13"/>
      <c r="K52" s="131"/>
      <c r="L52" s="131"/>
      <c r="M52" s="131"/>
      <c r="N52" s="131"/>
      <c r="O52" s="131"/>
      <c r="P52" s="131"/>
      <c r="Q52" s="131"/>
      <c r="R52" s="131"/>
      <c r="S52" s="131"/>
      <c r="T52" s="131"/>
      <c r="U52" s="131"/>
      <c r="V52" s="131"/>
      <c r="W52" s="131"/>
      <c r="X52" s="131"/>
      <c r="Y52" s="131"/>
      <c r="Z52" s="131"/>
      <c r="AA52" s="131"/>
      <c r="AB52" s="131"/>
      <c r="AC52" s="131"/>
      <c r="AD52" s="131"/>
      <c r="AE52" s="131"/>
      <c r="AF52" s="131"/>
      <c r="AG52" s="131"/>
      <c r="AH52" s="131"/>
      <c r="AI52" s="131"/>
      <c r="AJ52" s="131"/>
      <c r="AK52" s="131"/>
      <c r="AL52" s="131"/>
      <c r="AM52" s="131"/>
      <c r="AN52" s="131"/>
      <c r="AO52" s="131"/>
      <c r="AP52" s="131"/>
      <c r="AQ52" s="131"/>
      <c r="AR52" s="131"/>
      <c r="AS52" s="131"/>
      <c r="AT52" s="131"/>
      <c r="AU52" s="90"/>
      <c r="AV52" s="90"/>
      <c r="AW52" s="90"/>
    </row>
    <row r="53" spans="1:60" ht="16.5" customHeight="1">
      <c r="A53" s="134" t="s">
        <v>154</v>
      </c>
      <c r="B53" s="135"/>
      <c r="C53" s="135"/>
      <c r="D53" s="135"/>
      <c r="E53" s="135"/>
      <c r="F53" s="135"/>
      <c r="G53" s="135"/>
      <c r="H53" s="135"/>
      <c r="I53" s="135"/>
      <c r="J53" s="135"/>
      <c r="K53" s="135"/>
      <c r="L53" s="135"/>
      <c r="M53" s="135"/>
      <c r="N53" s="135"/>
      <c r="O53" s="135"/>
      <c r="P53" s="135"/>
      <c r="Q53" s="135"/>
      <c r="R53" s="135"/>
      <c r="S53" s="135"/>
      <c r="T53" s="135"/>
      <c r="U53" s="135"/>
      <c r="V53" s="135"/>
      <c r="W53" s="135"/>
      <c r="X53" s="135"/>
      <c r="Y53" s="135"/>
      <c r="Z53" s="135"/>
      <c r="AA53" s="135"/>
      <c r="AB53" s="135"/>
      <c r="AC53" s="135"/>
      <c r="AD53" s="135"/>
      <c r="AE53" s="135"/>
      <c r="AF53" s="135"/>
      <c r="AG53" s="135"/>
      <c r="AH53" s="135"/>
      <c r="AI53" s="135"/>
      <c r="AJ53" s="90"/>
      <c r="AK53" s="90"/>
      <c r="AL53" s="90"/>
      <c r="AM53" s="90"/>
      <c r="AN53" s="90"/>
      <c r="AO53" s="90"/>
      <c r="AP53" s="90"/>
      <c r="AQ53" s="90"/>
      <c r="AR53" s="90"/>
      <c r="AS53" s="90"/>
      <c r="AT53" s="90"/>
      <c r="AU53" s="90"/>
      <c r="AV53" s="90"/>
      <c r="AW53" s="90"/>
    </row>
    <row r="54" spans="1:60" ht="16.5" customHeight="1">
      <c r="A54" s="136"/>
      <c r="B54" s="135"/>
      <c r="C54" s="135"/>
      <c r="D54" s="135"/>
      <c r="E54" s="135"/>
      <c r="F54" s="135"/>
      <c r="G54" s="135"/>
      <c r="H54" s="135"/>
      <c r="I54" s="135"/>
      <c r="J54" s="135"/>
      <c r="K54" s="135"/>
      <c r="L54" s="135"/>
      <c r="M54" s="135"/>
      <c r="N54" s="135"/>
      <c r="O54" s="135"/>
      <c r="P54" s="135"/>
      <c r="Q54" s="135"/>
      <c r="R54" s="135"/>
      <c r="S54" s="135"/>
      <c r="T54" s="135"/>
      <c r="U54" s="135"/>
      <c r="V54" s="135"/>
      <c r="W54" s="135"/>
      <c r="X54" s="135"/>
      <c r="Y54" s="135"/>
      <c r="Z54" s="135"/>
      <c r="AA54" s="135"/>
      <c r="AB54" s="135"/>
      <c r="AC54" s="135"/>
      <c r="AD54" s="135"/>
      <c r="AE54" s="135"/>
      <c r="AF54" s="135"/>
      <c r="AG54" s="135"/>
      <c r="AH54" s="135"/>
      <c r="AI54" s="135"/>
      <c r="AJ54" s="90"/>
      <c r="AK54" s="90"/>
      <c r="AL54" s="90"/>
      <c r="AM54" s="90"/>
      <c r="AN54" s="90"/>
      <c r="AO54" s="90"/>
      <c r="AP54" s="90"/>
      <c r="AQ54" s="90"/>
      <c r="AR54" s="90"/>
      <c r="AS54" s="90"/>
      <c r="AT54" s="90"/>
      <c r="AU54" s="90"/>
      <c r="AV54" s="90"/>
      <c r="AW54" s="90"/>
    </row>
    <row r="55" spans="1:60" ht="21.95" customHeight="1">
      <c r="A55" s="137" t="s">
        <v>84</v>
      </c>
      <c r="B55" s="138"/>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AD55" s="138"/>
      <c r="AE55" s="138"/>
      <c r="AF55" s="138"/>
      <c r="AG55" s="138"/>
      <c r="AH55" s="138"/>
      <c r="AI55" s="138"/>
      <c r="AJ55" s="138"/>
      <c r="AK55" s="138"/>
      <c r="AL55" s="138"/>
      <c r="AM55" s="138"/>
      <c r="AN55" s="138"/>
      <c r="AO55" s="138"/>
      <c r="AP55" s="138"/>
      <c r="AQ55" s="138"/>
      <c r="AR55" s="138"/>
      <c r="AS55" s="138"/>
      <c r="AT55" s="138"/>
      <c r="AU55" s="10"/>
      <c r="AV55" s="10"/>
    </row>
    <row r="56" spans="1:60" ht="21.95" customHeight="1">
      <c r="A56" s="139" t="s">
        <v>0</v>
      </c>
      <c r="B56" s="204" t="s">
        <v>143</v>
      </c>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c r="AR56" s="204"/>
      <c r="AS56" s="204"/>
      <c r="AT56" s="204"/>
      <c r="AU56" s="140"/>
      <c r="AV56" s="140"/>
      <c r="AW56" s="140"/>
    </row>
    <row r="57" spans="1:60" ht="21.95" customHeight="1">
      <c r="A57" s="141" t="s">
        <v>85</v>
      </c>
      <c r="B57" s="204" t="s">
        <v>144</v>
      </c>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c r="AR57" s="204"/>
      <c r="AS57" s="204"/>
      <c r="AT57" s="204"/>
      <c r="AU57" s="140"/>
      <c r="AV57" s="140"/>
      <c r="AW57" s="140"/>
    </row>
    <row r="58" spans="1:60" ht="21.95" customHeight="1">
      <c r="A58" s="141" t="s">
        <v>86</v>
      </c>
      <c r="B58" s="204" t="s">
        <v>145</v>
      </c>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c r="AR58" s="204"/>
      <c r="AS58" s="204"/>
      <c r="AT58" s="204"/>
      <c r="BE58" s="142"/>
      <c r="BF58" s="142"/>
      <c r="BG58" s="142"/>
      <c r="BH58" s="142"/>
    </row>
    <row r="59" spans="1:60" ht="21.95" customHeight="1">
      <c r="A59" s="141" t="s">
        <v>87</v>
      </c>
      <c r="B59" s="205" t="s">
        <v>165</v>
      </c>
      <c r="C59" s="205"/>
      <c r="D59" s="205"/>
      <c r="E59" s="205"/>
      <c r="F59" s="205"/>
      <c r="G59" s="205"/>
      <c r="H59" s="205"/>
      <c r="I59" s="205"/>
      <c r="J59" s="205"/>
      <c r="K59" s="205"/>
      <c r="L59" s="205"/>
      <c r="M59" s="205"/>
      <c r="N59" s="205"/>
      <c r="O59" s="205"/>
      <c r="P59" s="205"/>
      <c r="Q59" s="205"/>
      <c r="R59" s="205"/>
      <c r="S59" s="205"/>
      <c r="T59" s="205"/>
      <c r="U59" s="205"/>
      <c r="V59" s="205"/>
      <c r="W59" s="205"/>
      <c r="X59" s="205"/>
      <c r="Y59" s="205"/>
      <c r="Z59" s="205"/>
      <c r="AA59" s="205"/>
      <c r="AB59" s="205"/>
      <c r="AC59" s="205"/>
      <c r="AD59" s="205"/>
      <c r="AE59" s="205"/>
      <c r="AF59" s="205"/>
      <c r="AG59" s="205"/>
      <c r="AH59" s="205"/>
      <c r="AI59" s="205"/>
      <c r="AJ59" s="205"/>
      <c r="AK59" s="205"/>
      <c r="AL59" s="205"/>
      <c r="AM59" s="205"/>
      <c r="AN59" s="205"/>
      <c r="AO59" s="205"/>
      <c r="AP59" s="205"/>
      <c r="AQ59" s="205"/>
      <c r="AR59" s="205"/>
      <c r="AS59" s="205"/>
      <c r="AT59" s="205"/>
    </row>
    <row r="60" spans="1:60" s="142" customFormat="1" ht="21.95" customHeight="1">
      <c r="A60" s="141" t="s">
        <v>88</v>
      </c>
      <c r="B60" s="197" t="s">
        <v>152</v>
      </c>
      <c r="C60" s="197"/>
      <c r="D60" s="197"/>
      <c r="E60" s="197"/>
      <c r="F60" s="197"/>
      <c r="G60" s="197"/>
      <c r="H60" s="197"/>
      <c r="I60" s="197"/>
      <c r="J60" s="197"/>
      <c r="K60" s="197"/>
      <c r="L60" s="197"/>
      <c r="M60" s="197"/>
      <c r="N60" s="197"/>
      <c r="O60" s="197"/>
      <c r="P60" s="197"/>
      <c r="Q60" s="197"/>
      <c r="R60" s="197"/>
      <c r="S60" s="197"/>
      <c r="T60" s="197"/>
      <c r="U60" s="197"/>
      <c r="V60" s="197"/>
      <c r="W60" s="197"/>
      <c r="X60" s="197"/>
      <c r="Y60" s="197"/>
      <c r="Z60" s="197"/>
      <c r="AA60" s="197"/>
      <c r="AB60" s="197"/>
      <c r="AC60" s="197"/>
      <c r="AD60" s="197"/>
      <c r="AE60" s="197"/>
      <c r="AF60" s="197"/>
      <c r="AG60" s="197"/>
      <c r="AH60" s="197"/>
      <c r="AI60" s="197"/>
      <c r="AJ60" s="197"/>
      <c r="AK60" s="197"/>
      <c r="AL60" s="197"/>
      <c r="AM60" s="197"/>
      <c r="AN60" s="197"/>
      <c r="AO60" s="197"/>
      <c r="AP60" s="197"/>
      <c r="AQ60" s="197"/>
      <c r="AR60" s="197"/>
      <c r="AS60" s="197"/>
      <c r="AT60" s="197"/>
      <c r="BE60" s="2"/>
      <c r="BF60" s="2"/>
      <c r="BG60" s="2"/>
      <c r="BH60" s="2"/>
    </row>
    <row r="61" spans="1:60" ht="21.95" customHeight="1">
      <c r="A61" s="141" t="s">
        <v>89</v>
      </c>
      <c r="B61" s="143" t="s">
        <v>146</v>
      </c>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3"/>
      <c r="AT61" s="143"/>
    </row>
    <row r="62" spans="1:60" ht="21.95" customHeight="1">
      <c r="A62" s="141" t="s">
        <v>90</v>
      </c>
      <c r="B62" s="195" t="s">
        <v>147</v>
      </c>
      <c r="C62" s="195"/>
      <c r="D62" s="195"/>
      <c r="E62" s="195"/>
      <c r="F62" s="195"/>
      <c r="G62" s="195"/>
      <c r="H62" s="195"/>
      <c r="I62" s="195"/>
      <c r="J62" s="195"/>
      <c r="K62" s="195"/>
      <c r="L62" s="195"/>
      <c r="M62" s="195"/>
      <c r="N62" s="195"/>
      <c r="O62" s="195"/>
      <c r="P62" s="195"/>
      <c r="Q62" s="195"/>
      <c r="R62" s="195"/>
      <c r="S62" s="195"/>
      <c r="T62" s="195"/>
      <c r="U62" s="195"/>
      <c r="V62" s="195"/>
      <c r="W62" s="195"/>
      <c r="X62" s="195"/>
      <c r="Y62" s="195"/>
      <c r="Z62" s="195"/>
      <c r="AA62" s="195"/>
      <c r="AB62" s="195"/>
      <c r="AC62" s="195"/>
      <c r="AD62" s="195"/>
      <c r="AE62" s="195"/>
      <c r="AF62" s="195"/>
      <c r="AG62" s="195"/>
      <c r="AH62" s="195"/>
      <c r="AI62" s="195"/>
      <c r="AJ62" s="195"/>
      <c r="AK62" s="195"/>
      <c r="AL62" s="195"/>
      <c r="AM62" s="195"/>
      <c r="AN62" s="195"/>
      <c r="AO62" s="195"/>
      <c r="AP62" s="195"/>
      <c r="AQ62" s="195"/>
      <c r="AR62" s="195"/>
      <c r="AS62" s="195"/>
      <c r="AT62" s="195"/>
    </row>
    <row r="63" spans="1:60" ht="21.95" customHeight="1">
      <c r="A63" s="141" t="s">
        <v>121</v>
      </c>
      <c r="B63" s="198" t="s">
        <v>148</v>
      </c>
      <c r="C63" s="197"/>
      <c r="D63" s="197"/>
      <c r="E63" s="197"/>
      <c r="F63" s="197"/>
      <c r="G63" s="197"/>
      <c r="H63" s="197"/>
      <c r="I63" s="197"/>
      <c r="J63" s="197"/>
      <c r="K63" s="197"/>
      <c r="L63" s="197"/>
      <c r="M63" s="197"/>
      <c r="N63" s="197"/>
      <c r="O63" s="197"/>
      <c r="P63" s="197"/>
      <c r="Q63" s="197"/>
      <c r="R63" s="197"/>
      <c r="S63" s="197"/>
      <c r="T63" s="197"/>
      <c r="U63" s="197"/>
      <c r="V63" s="197"/>
      <c r="W63" s="197"/>
      <c r="X63" s="197"/>
      <c r="Y63" s="197"/>
      <c r="Z63" s="197"/>
      <c r="AA63" s="197"/>
      <c r="AB63" s="197"/>
      <c r="AC63" s="197"/>
      <c r="AD63" s="197"/>
      <c r="AE63" s="197"/>
      <c r="AF63" s="197"/>
      <c r="AG63" s="197"/>
      <c r="AH63" s="197"/>
      <c r="AI63" s="197"/>
      <c r="AJ63" s="197"/>
      <c r="AK63" s="197"/>
      <c r="AL63" s="197"/>
      <c r="AM63" s="197"/>
      <c r="AN63" s="197"/>
      <c r="AO63" s="197"/>
      <c r="AP63" s="197"/>
      <c r="AQ63" s="197"/>
      <c r="AR63" s="197"/>
      <c r="AS63" s="197"/>
      <c r="AT63" s="197"/>
    </row>
    <row r="64" spans="1:60" ht="21.95" customHeight="1">
      <c r="A64" s="141" t="s">
        <v>125</v>
      </c>
      <c r="B64" s="143" t="s">
        <v>155</v>
      </c>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c r="AG64" s="143"/>
      <c r="AH64" s="143"/>
      <c r="AI64" s="143"/>
      <c r="AJ64" s="143"/>
      <c r="AK64" s="143"/>
      <c r="AL64" s="143"/>
      <c r="AM64" s="143"/>
      <c r="AN64" s="143"/>
      <c r="AO64" s="143"/>
      <c r="AP64" s="143"/>
      <c r="AQ64" s="143"/>
      <c r="AR64" s="143"/>
      <c r="AS64" s="143"/>
      <c r="AT64" s="143"/>
    </row>
    <row r="65" spans="1:262" ht="21.95" customHeight="1">
      <c r="A65" s="143">
        <v>10</v>
      </c>
      <c r="B65" s="195" t="s">
        <v>149</v>
      </c>
      <c r="C65" s="195"/>
      <c r="D65" s="195"/>
      <c r="E65" s="195"/>
      <c r="F65" s="195"/>
      <c r="G65" s="195"/>
      <c r="H65" s="195"/>
      <c r="I65" s="195"/>
      <c r="J65" s="195"/>
      <c r="K65" s="195"/>
      <c r="L65" s="195"/>
      <c r="M65" s="195"/>
      <c r="N65" s="195"/>
      <c r="O65" s="195"/>
      <c r="P65" s="195"/>
      <c r="Q65" s="195"/>
      <c r="R65" s="195"/>
      <c r="S65" s="195"/>
      <c r="T65" s="195"/>
      <c r="U65" s="195"/>
      <c r="V65" s="195"/>
      <c r="W65" s="195"/>
      <c r="X65" s="195"/>
      <c r="Y65" s="195"/>
      <c r="Z65" s="195"/>
      <c r="AA65" s="195"/>
      <c r="AB65" s="195"/>
      <c r="AC65" s="195"/>
      <c r="AD65" s="195"/>
      <c r="AE65" s="195"/>
      <c r="AF65" s="195"/>
      <c r="AG65" s="195"/>
      <c r="AH65" s="195"/>
      <c r="AI65" s="195"/>
      <c r="AJ65" s="195"/>
      <c r="AK65" s="195"/>
      <c r="AL65" s="195"/>
      <c r="AM65" s="195"/>
      <c r="AN65" s="195"/>
      <c r="AO65" s="195"/>
      <c r="AP65" s="195"/>
      <c r="AQ65" s="195"/>
      <c r="AR65" s="195"/>
      <c r="AS65" s="195"/>
      <c r="AT65" s="195"/>
    </row>
    <row r="66" spans="1:262" ht="29.25" customHeight="1">
      <c r="A66" s="143"/>
      <c r="B66" s="180" t="s">
        <v>150</v>
      </c>
      <c r="C66" s="180"/>
      <c r="D66" s="180"/>
      <c r="E66" s="180"/>
      <c r="F66" s="180"/>
      <c r="G66" s="180"/>
      <c r="H66" s="180"/>
      <c r="I66" s="180"/>
      <c r="J66" s="180"/>
      <c r="K66" s="180"/>
      <c r="L66" s="180"/>
      <c r="M66" s="180"/>
      <c r="N66" s="180"/>
      <c r="O66" s="180"/>
      <c r="P66" s="180"/>
      <c r="Q66" s="180"/>
      <c r="R66" s="180"/>
      <c r="S66" s="180"/>
      <c r="T66" s="180"/>
      <c r="U66" s="180"/>
      <c r="V66" s="180"/>
      <c r="W66" s="180"/>
      <c r="X66" s="180"/>
      <c r="Y66" s="180"/>
      <c r="Z66" s="180"/>
      <c r="AA66" s="180"/>
      <c r="AB66" s="180"/>
      <c r="AC66" s="180"/>
      <c r="AD66" s="180"/>
      <c r="AE66" s="180"/>
      <c r="AF66" s="180"/>
      <c r="AG66" s="180"/>
      <c r="AH66" s="180"/>
      <c r="AI66" s="180"/>
      <c r="AJ66" s="180"/>
      <c r="AK66" s="180"/>
      <c r="AL66" s="180"/>
      <c r="AM66" s="180"/>
      <c r="AN66" s="180"/>
      <c r="AO66" s="180"/>
      <c r="AP66" s="180"/>
      <c r="AQ66" s="180"/>
      <c r="AR66" s="180"/>
      <c r="AS66" s="180"/>
      <c r="AT66" s="180"/>
    </row>
    <row r="67" spans="1:262" ht="21.75" customHeight="1">
      <c r="A67" s="143"/>
      <c r="B67" s="180" t="s">
        <v>151</v>
      </c>
      <c r="C67" s="180"/>
      <c r="D67" s="180"/>
      <c r="E67" s="180"/>
      <c r="F67" s="180"/>
      <c r="G67" s="180"/>
      <c r="H67" s="180"/>
      <c r="I67" s="180"/>
      <c r="J67" s="180"/>
      <c r="K67" s="180"/>
      <c r="L67" s="180"/>
      <c r="M67" s="180"/>
      <c r="N67" s="180"/>
      <c r="O67" s="180"/>
      <c r="P67" s="180"/>
      <c r="Q67" s="180"/>
      <c r="R67" s="180"/>
      <c r="S67" s="180"/>
      <c r="T67" s="180"/>
      <c r="U67" s="180"/>
      <c r="V67" s="180"/>
      <c r="W67" s="180"/>
      <c r="X67" s="180"/>
      <c r="Y67" s="180"/>
      <c r="Z67" s="180"/>
      <c r="AA67" s="180"/>
      <c r="AB67" s="180"/>
      <c r="AC67" s="180"/>
      <c r="AD67" s="180"/>
      <c r="AE67" s="180"/>
      <c r="AF67" s="180"/>
      <c r="AG67" s="180"/>
      <c r="AH67" s="180"/>
      <c r="AI67" s="180"/>
      <c r="AJ67" s="180"/>
      <c r="AK67" s="180"/>
      <c r="AL67" s="180"/>
      <c r="AM67" s="180"/>
      <c r="AN67" s="180"/>
      <c r="AO67" s="180"/>
      <c r="AP67" s="180"/>
      <c r="AQ67" s="180"/>
      <c r="AR67" s="180"/>
      <c r="AS67" s="180"/>
      <c r="AT67" s="180"/>
    </row>
    <row r="68" spans="1:262" ht="21.95" customHeight="1">
      <c r="A68" s="143">
        <v>11</v>
      </c>
      <c r="B68" s="180" t="s">
        <v>156</v>
      </c>
      <c r="C68" s="180"/>
      <c r="D68" s="180"/>
      <c r="E68" s="180"/>
      <c r="F68" s="180"/>
      <c r="G68" s="180"/>
      <c r="H68" s="180"/>
      <c r="I68" s="180"/>
      <c r="J68" s="180"/>
      <c r="K68" s="180"/>
      <c r="L68" s="180"/>
      <c r="M68" s="180"/>
      <c r="N68" s="180"/>
      <c r="O68" s="180"/>
      <c r="P68" s="180"/>
      <c r="Q68" s="180"/>
      <c r="R68" s="180"/>
      <c r="S68" s="180"/>
      <c r="T68" s="180"/>
      <c r="U68" s="180"/>
      <c r="V68" s="180"/>
      <c r="W68" s="180"/>
      <c r="X68" s="180"/>
      <c r="Y68" s="180"/>
      <c r="Z68" s="180"/>
      <c r="AA68" s="180"/>
      <c r="AB68" s="180"/>
      <c r="AC68" s="180"/>
      <c r="AD68" s="180"/>
      <c r="AE68" s="180"/>
      <c r="AF68" s="180"/>
      <c r="AG68" s="180"/>
      <c r="AH68" s="180"/>
      <c r="AI68" s="180"/>
      <c r="AJ68" s="180"/>
      <c r="AK68" s="180"/>
      <c r="AL68" s="180"/>
      <c r="AM68" s="180"/>
      <c r="AN68" s="180"/>
      <c r="AO68" s="180"/>
      <c r="AP68" s="180"/>
      <c r="AQ68" s="180"/>
      <c r="AR68" s="180"/>
      <c r="AS68" s="180"/>
      <c r="AT68" s="180"/>
    </row>
    <row r="69" spans="1:262" ht="16.5" customHeight="1">
      <c r="A69" s="141"/>
      <c r="B69" s="143" t="s">
        <v>123</v>
      </c>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43"/>
      <c r="AH69" s="143"/>
      <c r="AI69" s="143"/>
      <c r="AJ69" s="143"/>
      <c r="AK69" s="143"/>
      <c r="AL69" s="143"/>
      <c r="AM69" s="143"/>
      <c r="AN69" s="143"/>
      <c r="AO69" s="143"/>
      <c r="AP69" s="143"/>
      <c r="AQ69" s="143"/>
      <c r="AR69" s="143"/>
      <c r="AS69" s="143"/>
      <c r="AT69" s="143"/>
    </row>
    <row r="70" spans="1:262" ht="16.5" customHeight="1">
      <c r="A70" s="141"/>
      <c r="B70" s="143" t="s">
        <v>124</v>
      </c>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c r="AA70" s="143"/>
      <c r="AB70" s="143"/>
      <c r="AC70" s="143"/>
      <c r="AD70" s="143"/>
      <c r="AE70" s="143"/>
      <c r="AF70" s="143"/>
      <c r="AG70" s="143"/>
      <c r="AH70" s="143"/>
      <c r="AI70" s="143"/>
      <c r="AJ70" s="143"/>
      <c r="AK70" s="143"/>
      <c r="AL70" s="143"/>
      <c r="AM70" s="143"/>
      <c r="AN70" s="143"/>
      <c r="AO70" s="143"/>
      <c r="AP70" s="143"/>
      <c r="AQ70" s="143"/>
      <c r="AR70" s="143"/>
      <c r="AS70" s="143"/>
      <c r="AT70" s="143"/>
    </row>
    <row r="71" spans="1:262" ht="16.5" customHeight="1">
      <c r="A71" s="141"/>
      <c r="B71" s="143" t="s">
        <v>128</v>
      </c>
      <c r="C71" s="143"/>
      <c r="D71" s="143"/>
      <c r="E71" s="143"/>
      <c r="F71" s="143"/>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c r="AD71" s="143"/>
      <c r="AE71" s="143"/>
      <c r="AF71" s="143"/>
      <c r="AG71" s="143"/>
      <c r="AH71" s="143"/>
      <c r="AI71" s="143"/>
      <c r="AJ71" s="143"/>
      <c r="AK71" s="143"/>
      <c r="AL71" s="143"/>
      <c r="AM71" s="143"/>
      <c r="AN71" s="143"/>
      <c r="AO71" s="143"/>
      <c r="AP71" s="143"/>
      <c r="AQ71" s="143"/>
      <c r="AR71" s="143"/>
      <c r="AS71" s="143"/>
      <c r="AT71" s="143"/>
    </row>
    <row r="72" spans="1:262" ht="16.5" customHeight="1">
      <c r="A72" s="141"/>
      <c r="B72" s="143" t="s">
        <v>129</v>
      </c>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c r="AD72" s="143"/>
      <c r="AE72" s="143"/>
      <c r="AF72" s="143"/>
      <c r="AG72" s="143"/>
      <c r="AH72" s="143"/>
      <c r="AI72" s="143"/>
      <c r="AJ72" s="143"/>
      <c r="AK72" s="143"/>
      <c r="AL72" s="143"/>
      <c r="AM72" s="143"/>
      <c r="AN72" s="143"/>
      <c r="AO72" s="143"/>
      <c r="AP72" s="143"/>
      <c r="AQ72" s="143"/>
      <c r="AR72" s="143"/>
      <c r="AS72" s="143"/>
      <c r="AT72" s="143"/>
    </row>
    <row r="73" spans="1:262" ht="16.5" customHeight="1">
      <c r="A73" s="141"/>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c r="AA73" s="143"/>
      <c r="AB73" s="143"/>
      <c r="AC73" s="143"/>
      <c r="AD73" s="143"/>
      <c r="AE73" s="143"/>
      <c r="AF73" s="143"/>
      <c r="AG73" s="143"/>
      <c r="AH73" s="143"/>
      <c r="AI73" s="143"/>
      <c r="AJ73" s="143"/>
      <c r="AK73" s="143"/>
      <c r="AL73" s="143"/>
      <c r="AM73" s="143"/>
      <c r="AN73" s="143"/>
      <c r="AO73" s="143"/>
      <c r="AP73" s="143"/>
      <c r="AQ73" s="143"/>
      <c r="AR73" s="143"/>
      <c r="AS73" s="143"/>
      <c r="AT73" s="143"/>
    </row>
    <row r="74" spans="1:262" ht="21.95" customHeight="1">
      <c r="A74" s="143">
        <v>12</v>
      </c>
      <c r="B74" s="144" t="s">
        <v>157</v>
      </c>
      <c r="C74" s="144"/>
      <c r="D74" s="145"/>
      <c r="E74" s="145"/>
      <c r="F74" s="145"/>
      <c r="G74" s="145"/>
      <c r="H74" s="145"/>
      <c r="I74" s="145"/>
      <c r="J74" s="145"/>
      <c r="K74" s="145"/>
      <c r="L74" s="145"/>
      <c r="M74" s="145"/>
      <c r="N74" s="145"/>
      <c r="O74" s="145"/>
      <c r="P74" s="145"/>
      <c r="Q74" s="145"/>
      <c r="R74" s="145"/>
      <c r="S74" s="145"/>
      <c r="T74" s="145"/>
      <c r="U74" s="145"/>
      <c r="V74" s="145"/>
      <c r="W74" s="145"/>
      <c r="X74" s="145"/>
      <c r="Y74" s="145"/>
      <c r="Z74" s="145"/>
      <c r="AA74" s="145"/>
      <c r="AB74" s="145"/>
      <c r="AC74" s="145"/>
      <c r="AD74" s="145"/>
      <c r="AE74" s="145"/>
      <c r="AF74" s="145"/>
      <c r="AG74" s="145"/>
      <c r="AH74" s="145"/>
      <c r="AI74" s="145"/>
      <c r="AJ74" s="145"/>
      <c r="AK74" s="145"/>
      <c r="AL74" s="145"/>
      <c r="AM74" s="145"/>
      <c r="AN74" s="145"/>
      <c r="AO74" s="145"/>
      <c r="AP74" s="145"/>
      <c r="AQ74" s="145"/>
      <c r="AR74" s="145"/>
      <c r="AS74" s="145"/>
      <c r="AT74" s="145"/>
    </row>
    <row r="75" spans="1:262" ht="53.25" customHeight="1">
      <c r="A75" s="146">
        <v>13</v>
      </c>
      <c r="B75" s="180" t="s">
        <v>153</v>
      </c>
      <c r="C75" s="180"/>
      <c r="D75" s="180"/>
      <c r="E75" s="180"/>
      <c r="F75" s="180"/>
      <c r="G75" s="180"/>
      <c r="H75" s="180"/>
      <c r="I75" s="180"/>
      <c r="J75" s="180"/>
      <c r="K75" s="180"/>
      <c r="L75" s="180"/>
      <c r="M75" s="180"/>
      <c r="N75" s="180"/>
      <c r="O75" s="180"/>
      <c r="P75" s="180"/>
      <c r="Q75" s="180"/>
      <c r="R75" s="180"/>
      <c r="S75" s="180"/>
      <c r="T75" s="180"/>
      <c r="U75" s="180"/>
      <c r="V75" s="180"/>
      <c r="W75" s="180"/>
      <c r="X75" s="180"/>
      <c r="Y75" s="180"/>
      <c r="Z75" s="180"/>
      <c r="AA75" s="180"/>
      <c r="AB75" s="180"/>
      <c r="AC75" s="180"/>
      <c r="AD75" s="180"/>
      <c r="AE75" s="180"/>
      <c r="AF75" s="180"/>
      <c r="AG75" s="180"/>
      <c r="AH75" s="180"/>
      <c r="AI75" s="180"/>
      <c r="AJ75" s="180"/>
      <c r="AK75" s="180"/>
      <c r="AL75" s="180"/>
      <c r="AM75" s="180"/>
      <c r="AN75" s="180"/>
      <c r="AO75" s="180"/>
      <c r="AP75" s="180"/>
      <c r="AQ75" s="180"/>
      <c r="AR75" s="180"/>
      <c r="AS75" s="180"/>
      <c r="AT75" s="180"/>
      <c r="BE75" s="13"/>
      <c r="BF75" s="13"/>
      <c r="BG75" s="10"/>
      <c r="BH75" s="10"/>
    </row>
    <row r="76" spans="1:262" ht="20.25" customHeight="1">
      <c r="A76" s="147">
        <v>14</v>
      </c>
      <c r="B76" s="148" t="s">
        <v>160</v>
      </c>
      <c r="C76" s="148"/>
      <c r="D76" s="148"/>
      <c r="E76" s="148"/>
      <c r="F76" s="148"/>
      <c r="G76" s="148"/>
      <c r="H76" s="148"/>
      <c r="I76" s="148"/>
      <c r="J76" s="148"/>
      <c r="K76" s="148"/>
      <c r="L76" s="148"/>
      <c r="M76" s="148"/>
      <c r="N76" s="148"/>
      <c r="O76" s="148"/>
      <c r="P76" s="148"/>
      <c r="Q76" s="148"/>
      <c r="R76" s="148"/>
      <c r="S76" s="148"/>
      <c r="T76" s="148"/>
      <c r="U76" s="148"/>
      <c r="V76" s="148"/>
      <c r="W76" s="148"/>
      <c r="X76" s="148"/>
      <c r="Y76" s="148"/>
      <c r="Z76" s="148"/>
      <c r="AA76" s="148"/>
      <c r="AB76" s="148"/>
      <c r="AC76" s="148"/>
      <c r="AD76" s="148"/>
      <c r="AE76" s="148"/>
      <c r="AF76" s="148"/>
      <c r="AG76" s="148"/>
      <c r="AH76" s="148"/>
      <c r="AI76" s="148"/>
      <c r="AJ76" s="148"/>
      <c r="AK76" s="148"/>
      <c r="AL76" s="148"/>
      <c r="AM76" s="148"/>
      <c r="AN76" s="148"/>
      <c r="AO76" s="148"/>
      <c r="AP76" s="148"/>
      <c r="AQ76" s="148"/>
      <c r="AR76" s="148"/>
      <c r="AS76" s="148"/>
      <c r="AT76" s="148"/>
      <c r="AU76" s="10"/>
      <c r="AV76" s="10"/>
      <c r="AW76" s="10"/>
      <c r="AX76" s="10"/>
      <c r="AY76" s="10"/>
      <c r="AZ76" s="10"/>
      <c r="BA76" s="10"/>
      <c r="BB76" s="10"/>
      <c r="BC76" s="10"/>
      <c r="BD76" s="10"/>
      <c r="BE76" s="149"/>
      <c r="BF76" s="149"/>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10"/>
      <c r="EU76" s="10"/>
      <c r="EV76" s="10"/>
      <c r="EW76" s="10"/>
      <c r="EX76" s="10"/>
      <c r="EY76" s="10"/>
      <c r="EZ76" s="10"/>
      <c r="FA76" s="10"/>
      <c r="FB76" s="10"/>
      <c r="FC76" s="10"/>
      <c r="FD76" s="10"/>
      <c r="FE76" s="10"/>
      <c r="FF76" s="10"/>
      <c r="FG76" s="10"/>
      <c r="FH76" s="10"/>
      <c r="FI76" s="10"/>
      <c r="FJ76" s="10"/>
      <c r="FK76" s="10"/>
      <c r="FL76" s="10"/>
      <c r="FM76" s="10"/>
      <c r="FN76" s="10"/>
      <c r="FO76" s="10"/>
      <c r="FP76" s="10"/>
      <c r="FQ76" s="10"/>
      <c r="FR76" s="10"/>
      <c r="FS76" s="10"/>
      <c r="FT76" s="10"/>
      <c r="FU76" s="10"/>
      <c r="FV76" s="10"/>
      <c r="FW76" s="10"/>
      <c r="FX76" s="10"/>
      <c r="FY76" s="10"/>
      <c r="FZ76" s="10"/>
      <c r="GA76" s="10"/>
      <c r="GB76" s="10"/>
      <c r="GC76" s="10"/>
      <c r="GD76" s="10"/>
      <c r="GE76" s="10"/>
      <c r="GF76" s="10"/>
      <c r="GG76" s="10"/>
      <c r="GH76" s="10"/>
      <c r="GI76" s="10"/>
      <c r="GJ76" s="10"/>
      <c r="GK76" s="10"/>
      <c r="GL76" s="10"/>
      <c r="GM76" s="10"/>
      <c r="GN76" s="10"/>
      <c r="GO76" s="10"/>
      <c r="GP76" s="10"/>
      <c r="GQ76" s="10"/>
      <c r="GR76" s="10"/>
      <c r="GS76" s="10"/>
      <c r="GT76" s="10"/>
      <c r="GU76" s="10"/>
      <c r="GV76" s="10"/>
      <c r="GW76" s="10"/>
      <c r="GX76" s="10"/>
      <c r="GY76" s="10"/>
      <c r="GZ76" s="10"/>
      <c r="HA76" s="10"/>
      <c r="HB76" s="10"/>
      <c r="HC76" s="10"/>
      <c r="HD76" s="10"/>
      <c r="HE76" s="10"/>
      <c r="HF76" s="10"/>
      <c r="HG76" s="10"/>
      <c r="HH76" s="10"/>
      <c r="HI76" s="10"/>
      <c r="HJ76" s="10"/>
      <c r="HK76" s="10"/>
      <c r="HL76" s="10"/>
      <c r="HM76" s="10"/>
      <c r="HN76" s="10"/>
      <c r="HO76" s="10"/>
      <c r="HP76" s="10"/>
      <c r="HQ76" s="10"/>
      <c r="HR76" s="10"/>
      <c r="HS76" s="10"/>
      <c r="HT76" s="10"/>
      <c r="HU76" s="10"/>
      <c r="HV76" s="10"/>
      <c r="HW76" s="10"/>
      <c r="HX76" s="10"/>
      <c r="HY76" s="10"/>
      <c r="HZ76" s="10"/>
      <c r="IA76" s="10"/>
      <c r="IB76" s="10"/>
      <c r="IC76" s="10"/>
      <c r="ID76" s="10"/>
      <c r="IE76" s="10"/>
      <c r="IF76" s="10"/>
      <c r="IG76" s="10"/>
      <c r="IH76" s="10"/>
      <c r="II76" s="10"/>
      <c r="IJ76" s="10"/>
      <c r="IK76" s="10"/>
      <c r="IL76" s="10"/>
      <c r="IM76" s="10"/>
      <c r="IN76" s="10"/>
      <c r="IO76" s="10"/>
      <c r="IP76" s="10"/>
      <c r="IQ76" s="10"/>
      <c r="IR76" s="10"/>
      <c r="IS76" s="10"/>
      <c r="IT76" s="10"/>
      <c r="IU76" s="10"/>
      <c r="IV76" s="10"/>
      <c r="IW76" s="10"/>
      <c r="IX76" s="10"/>
      <c r="IY76" s="10"/>
      <c r="IZ76" s="10"/>
      <c r="JA76" s="10"/>
      <c r="JB76" s="10"/>
    </row>
    <row r="77" spans="1:262" ht="20.25" customHeight="1">
      <c r="A77" s="196" t="s">
        <v>161</v>
      </c>
      <c r="B77" s="196"/>
      <c r="C77" s="196"/>
      <c r="D77" s="196"/>
      <c r="E77" s="196"/>
      <c r="F77" s="196"/>
      <c r="G77" s="196"/>
      <c r="H77" s="196"/>
      <c r="I77" s="196"/>
      <c r="J77" s="196"/>
      <c r="K77" s="196"/>
      <c r="L77" s="196"/>
      <c r="M77" s="196"/>
      <c r="N77" s="196"/>
      <c r="O77" s="196"/>
      <c r="P77" s="196"/>
      <c r="Q77" s="196"/>
      <c r="R77" s="196"/>
      <c r="S77" s="196"/>
      <c r="T77" s="196"/>
      <c r="U77" s="196"/>
      <c r="V77" s="196"/>
      <c r="W77" s="196"/>
      <c r="X77" s="196"/>
      <c r="Y77" s="196"/>
      <c r="Z77" s="196"/>
      <c r="AA77" s="196"/>
      <c r="AB77" s="196"/>
      <c r="AC77" s="196"/>
      <c r="AD77" s="196"/>
      <c r="AE77" s="196"/>
      <c r="AF77" s="196"/>
      <c r="AG77" s="196"/>
      <c r="AH77" s="196"/>
      <c r="AI77" s="196"/>
      <c r="AJ77" s="196"/>
      <c r="AK77" s="196"/>
      <c r="AL77" s="196"/>
      <c r="AM77" s="196"/>
      <c r="AN77" s="196"/>
      <c r="AO77" s="196"/>
      <c r="AP77" s="196"/>
      <c r="AQ77" s="196"/>
      <c r="AR77" s="196"/>
      <c r="AS77" s="196"/>
      <c r="AT77" s="196"/>
      <c r="AU77" s="10"/>
      <c r="AV77" s="10"/>
      <c r="AW77" s="10"/>
      <c r="AX77" s="10"/>
      <c r="AY77" s="10"/>
      <c r="AZ77" s="10"/>
      <c r="BA77" s="10"/>
      <c r="BB77" s="10"/>
      <c r="BC77" s="10"/>
      <c r="BD77" s="10"/>
      <c r="BE77" s="149"/>
      <c r="BF77" s="149"/>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10"/>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c r="FT77" s="10"/>
      <c r="FU77" s="10"/>
      <c r="FV77" s="10"/>
      <c r="FW77" s="10"/>
      <c r="FX77" s="10"/>
      <c r="FY77" s="10"/>
      <c r="FZ77" s="10"/>
      <c r="GA77" s="10"/>
      <c r="GB77" s="10"/>
      <c r="GC77" s="10"/>
      <c r="GD77" s="10"/>
      <c r="GE77" s="10"/>
      <c r="GF77" s="10"/>
      <c r="GG77" s="10"/>
      <c r="GH77" s="10"/>
      <c r="GI77" s="10"/>
      <c r="GJ77" s="10"/>
      <c r="GK77" s="10"/>
      <c r="GL77" s="10"/>
      <c r="GM77" s="10"/>
      <c r="GN77" s="10"/>
      <c r="GO77" s="10"/>
      <c r="GP77" s="10"/>
      <c r="GQ77" s="10"/>
      <c r="GR77" s="10"/>
      <c r="GS77" s="10"/>
      <c r="GT77" s="10"/>
      <c r="GU77" s="10"/>
      <c r="GV77" s="10"/>
      <c r="GW77" s="10"/>
      <c r="GX77" s="10"/>
      <c r="GY77" s="10"/>
      <c r="GZ77" s="10"/>
      <c r="HA77" s="10"/>
      <c r="HB77" s="10"/>
      <c r="HC77" s="10"/>
      <c r="HD77" s="10"/>
      <c r="HE77" s="10"/>
      <c r="HF77" s="10"/>
      <c r="HG77" s="10"/>
      <c r="HH77" s="10"/>
      <c r="HI77" s="10"/>
      <c r="HJ77" s="10"/>
      <c r="HK77" s="10"/>
      <c r="HL77" s="10"/>
      <c r="HM77" s="10"/>
      <c r="HN77" s="10"/>
      <c r="HO77" s="10"/>
      <c r="HP77" s="10"/>
      <c r="HQ77" s="10"/>
      <c r="HR77" s="10"/>
      <c r="HS77" s="10"/>
      <c r="HT77" s="10"/>
      <c r="HU77" s="10"/>
      <c r="HV77" s="10"/>
      <c r="HW77" s="10"/>
      <c r="HX77" s="10"/>
      <c r="HY77" s="10"/>
      <c r="HZ77" s="10"/>
      <c r="IA77" s="10"/>
      <c r="IB77" s="10"/>
      <c r="IC77" s="10"/>
      <c r="ID77" s="10"/>
      <c r="IE77" s="10"/>
      <c r="IF77" s="10"/>
      <c r="IG77" s="10"/>
      <c r="IH77" s="10"/>
      <c r="II77" s="10"/>
      <c r="IJ77" s="10"/>
      <c r="IK77" s="10"/>
      <c r="IL77" s="10"/>
      <c r="IM77" s="10"/>
      <c r="IN77" s="10"/>
      <c r="IO77" s="10"/>
      <c r="IP77" s="10"/>
      <c r="IQ77" s="10"/>
      <c r="IR77" s="10"/>
      <c r="IS77" s="10"/>
      <c r="IT77" s="10"/>
      <c r="IU77" s="10"/>
      <c r="IV77" s="10"/>
      <c r="IW77" s="10"/>
      <c r="IX77" s="10"/>
      <c r="IY77" s="10"/>
      <c r="IZ77" s="10"/>
      <c r="JA77" s="10"/>
      <c r="JB77" s="10"/>
    </row>
    <row r="78" spans="1:262" ht="20.25" customHeight="1">
      <c r="A78" s="196"/>
      <c r="B78" s="196"/>
      <c r="C78" s="196"/>
      <c r="D78" s="196"/>
      <c r="E78" s="196"/>
      <c r="F78" s="196"/>
      <c r="G78" s="196"/>
      <c r="H78" s="196"/>
      <c r="I78" s="196"/>
      <c r="J78" s="196"/>
      <c r="K78" s="196"/>
      <c r="L78" s="196"/>
      <c r="M78" s="196"/>
      <c r="N78" s="196"/>
      <c r="O78" s="196"/>
      <c r="P78" s="196"/>
      <c r="Q78" s="196"/>
      <c r="R78" s="196"/>
      <c r="S78" s="196"/>
      <c r="T78" s="196"/>
      <c r="U78" s="196"/>
      <c r="V78" s="196"/>
      <c r="W78" s="196"/>
      <c r="X78" s="196"/>
      <c r="Y78" s="196"/>
      <c r="Z78" s="196"/>
      <c r="AA78" s="196"/>
      <c r="AB78" s="196"/>
      <c r="AC78" s="196"/>
      <c r="AD78" s="196"/>
      <c r="AE78" s="196"/>
      <c r="AF78" s="196"/>
      <c r="AG78" s="196"/>
      <c r="AH78" s="196"/>
      <c r="AI78" s="196"/>
      <c r="AJ78" s="196"/>
      <c r="AK78" s="196"/>
      <c r="AL78" s="196"/>
      <c r="AM78" s="196"/>
      <c r="AN78" s="196"/>
      <c r="AO78" s="196"/>
      <c r="AP78" s="196"/>
      <c r="AQ78" s="196"/>
      <c r="AR78" s="196"/>
      <c r="AS78" s="196"/>
      <c r="AT78" s="196"/>
      <c r="AU78" s="10"/>
      <c r="AV78" s="10"/>
      <c r="AW78" s="10"/>
      <c r="AX78" s="10"/>
      <c r="AY78" s="10"/>
      <c r="AZ78" s="10"/>
      <c r="BA78" s="10"/>
      <c r="BB78" s="10"/>
      <c r="BC78" s="10"/>
      <c r="BD78" s="10"/>
      <c r="BE78" s="149"/>
      <c r="BF78" s="149"/>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c r="EK78" s="10"/>
      <c r="EL78" s="10"/>
      <c r="EM78" s="10"/>
      <c r="EN78" s="10"/>
      <c r="EO78" s="10"/>
      <c r="EP78" s="10"/>
      <c r="EQ78" s="10"/>
      <c r="ER78" s="10"/>
      <c r="ES78" s="10"/>
      <c r="ET78" s="10"/>
      <c r="EU78" s="10"/>
      <c r="EV78" s="10"/>
      <c r="EW78" s="10"/>
      <c r="EX78" s="10"/>
      <c r="EY78" s="10"/>
      <c r="EZ78" s="10"/>
      <c r="FA78" s="10"/>
      <c r="FB78" s="10"/>
      <c r="FC78" s="10"/>
      <c r="FD78" s="10"/>
      <c r="FE78" s="10"/>
      <c r="FF78" s="10"/>
      <c r="FG78" s="10"/>
      <c r="FH78" s="10"/>
      <c r="FI78" s="10"/>
      <c r="FJ78" s="10"/>
      <c r="FK78" s="10"/>
      <c r="FL78" s="10"/>
      <c r="FM78" s="10"/>
      <c r="FN78" s="10"/>
      <c r="FO78" s="10"/>
      <c r="FP78" s="10"/>
      <c r="FQ78" s="10"/>
      <c r="FR78" s="10"/>
      <c r="FS78" s="10"/>
      <c r="FT78" s="10"/>
      <c r="FU78" s="10"/>
      <c r="FV78" s="10"/>
      <c r="FW78" s="10"/>
      <c r="FX78" s="10"/>
      <c r="FY78" s="10"/>
      <c r="FZ78" s="10"/>
      <c r="GA78" s="10"/>
      <c r="GB78" s="10"/>
      <c r="GC78" s="10"/>
      <c r="GD78" s="10"/>
      <c r="GE78" s="10"/>
      <c r="GF78" s="10"/>
      <c r="GG78" s="10"/>
      <c r="GH78" s="10"/>
      <c r="GI78" s="10"/>
      <c r="GJ78" s="10"/>
      <c r="GK78" s="10"/>
      <c r="GL78" s="10"/>
      <c r="GM78" s="10"/>
      <c r="GN78" s="10"/>
      <c r="GO78" s="10"/>
      <c r="GP78" s="10"/>
      <c r="GQ78" s="10"/>
      <c r="GR78" s="10"/>
      <c r="GS78" s="10"/>
      <c r="GT78" s="10"/>
      <c r="GU78" s="10"/>
      <c r="GV78" s="10"/>
      <c r="GW78" s="10"/>
      <c r="GX78" s="10"/>
      <c r="GY78" s="10"/>
      <c r="GZ78" s="10"/>
      <c r="HA78" s="10"/>
      <c r="HB78" s="10"/>
      <c r="HC78" s="10"/>
      <c r="HD78" s="10"/>
      <c r="HE78" s="10"/>
      <c r="HF78" s="10"/>
      <c r="HG78" s="10"/>
      <c r="HH78" s="10"/>
      <c r="HI78" s="10"/>
      <c r="HJ78" s="10"/>
      <c r="HK78" s="10"/>
      <c r="HL78" s="10"/>
      <c r="HM78" s="10"/>
      <c r="HN78" s="10"/>
      <c r="HO78" s="10"/>
      <c r="HP78" s="10"/>
      <c r="HQ78" s="10"/>
      <c r="HR78" s="10"/>
      <c r="HS78" s="10"/>
      <c r="HT78" s="10"/>
      <c r="HU78" s="10"/>
      <c r="HV78" s="10"/>
      <c r="HW78" s="10"/>
      <c r="HX78" s="10"/>
      <c r="HY78" s="10"/>
      <c r="HZ78" s="10"/>
      <c r="IA78" s="10"/>
      <c r="IB78" s="10"/>
      <c r="IC78" s="10"/>
      <c r="ID78" s="10"/>
      <c r="IE78" s="10"/>
      <c r="IF78" s="10"/>
      <c r="IG78" s="10"/>
      <c r="IH78" s="10"/>
      <c r="II78" s="10"/>
      <c r="IJ78" s="10"/>
      <c r="IK78" s="10"/>
      <c r="IL78" s="10"/>
      <c r="IM78" s="10"/>
      <c r="IN78" s="10"/>
      <c r="IO78" s="10"/>
      <c r="IP78" s="10"/>
      <c r="IQ78" s="10"/>
      <c r="IR78" s="10"/>
      <c r="IS78" s="10"/>
      <c r="IT78" s="10"/>
      <c r="IU78" s="10"/>
      <c r="IV78" s="10"/>
      <c r="IW78" s="10"/>
      <c r="IX78" s="10"/>
      <c r="IY78" s="10"/>
      <c r="IZ78" s="10"/>
      <c r="JA78" s="10"/>
      <c r="JB78" s="10"/>
    </row>
    <row r="79" spans="1:262" ht="24" customHeight="1" thickBot="1">
      <c r="A79" s="10"/>
      <c r="B79" s="10"/>
      <c r="C79" s="150" t="s">
        <v>91</v>
      </c>
      <c r="D79" s="151"/>
      <c r="E79" s="151"/>
      <c r="F79" s="151"/>
      <c r="G79" s="151"/>
      <c r="H79" s="151"/>
      <c r="I79" s="151"/>
      <c r="J79" s="151"/>
      <c r="K79" s="151"/>
      <c r="L79" s="151"/>
      <c r="M79" s="151"/>
      <c r="N79" s="151"/>
      <c r="O79" s="151"/>
      <c r="P79" s="151"/>
      <c r="Q79" s="151"/>
      <c r="R79" s="151"/>
      <c r="S79" s="151"/>
      <c r="T79" s="151"/>
      <c r="U79" s="151"/>
      <c r="V79" s="151"/>
      <c r="W79" s="151"/>
      <c r="X79" s="151"/>
      <c r="Y79" s="151"/>
      <c r="Z79" s="151"/>
      <c r="AA79" s="151"/>
      <c r="AB79" s="152"/>
      <c r="AC79" s="152"/>
      <c r="AD79" s="152"/>
      <c r="AE79" s="152"/>
      <c r="AF79" s="152"/>
      <c r="AG79" s="152"/>
      <c r="AH79" s="152"/>
      <c r="AI79" s="152"/>
      <c r="AJ79" s="152"/>
      <c r="AK79" s="152"/>
      <c r="AL79" s="152"/>
      <c r="AM79" s="152"/>
      <c r="AN79" s="152"/>
      <c r="AO79" s="152"/>
      <c r="AP79" s="152"/>
      <c r="AQ79" s="152"/>
      <c r="AR79" s="152"/>
      <c r="AS79" s="10"/>
      <c r="AT79" s="10"/>
      <c r="AU79" s="10"/>
      <c r="AV79" s="10"/>
      <c r="AW79" s="10"/>
      <c r="AX79" s="10"/>
      <c r="AY79" s="10"/>
      <c r="AZ79" s="10"/>
      <c r="BA79" s="10"/>
      <c r="BB79" s="10"/>
      <c r="BC79" s="10"/>
      <c r="BD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10"/>
      <c r="EU79" s="10"/>
      <c r="EV79" s="10"/>
      <c r="EW79" s="10"/>
      <c r="EX79" s="10"/>
      <c r="EY79" s="10"/>
      <c r="EZ79" s="10"/>
      <c r="FA79" s="10"/>
      <c r="FB79" s="10"/>
      <c r="FC79" s="10"/>
      <c r="FD79" s="10"/>
      <c r="FE79" s="10"/>
      <c r="FF79" s="10"/>
      <c r="FG79" s="10"/>
      <c r="FH79" s="10"/>
      <c r="FI79" s="10"/>
      <c r="FJ79" s="10"/>
      <c r="FK79" s="10"/>
      <c r="FL79" s="10"/>
      <c r="FM79" s="10"/>
      <c r="FN79" s="10"/>
      <c r="FO79" s="10"/>
      <c r="FP79" s="10"/>
      <c r="FQ79" s="10"/>
      <c r="FR79" s="10"/>
      <c r="FS79" s="10"/>
      <c r="FT79" s="10"/>
      <c r="FU79" s="10"/>
      <c r="FV79" s="10"/>
      <c r="FW79" s="10"/>
      <c r="FX79" s="10"/>
      <c r="FY79" s="10"/>
      <c r="FZ79" s="10"/>
      <c r="GA79" s="10"/>
      <c r="GB79" s="10"/>
      <c r="GC79" s="10"/>
      <c r="GD79" s="10"/>
      <c r="GE79" s="10"/>
      <c r="GF79" s="10"/>
      <c r="GG79" s="10"/>
      <c r="GH79" s="10"/>
      <c r="GI79" s="10"/>
      <c r="GJ79" s="10"/>
      <c r="GK79" s="10"/>
      <c r="GL79" s="10"/>
      <c r="GM79" s="10"/>
      <c r="GN79" s="10"/>
      <c r="GO79" s="10"/>
      <c r="GP79" s="10"/>
      <c r="GQ79" s="10"/>
      <c r="GR79" s="10"/>
      <c r="GS79" s="10"/>
      <c r="GT79" s="10"/>
      <c r="GU79" s="10"/>
      <c r="GV79" s="10"/>
      <c r="GW79" s="10"/>
      <c r="GX79" s="10"/>
      <c r="GY79" s="10"/>
      <c r="GZ79" s="10"/>
      <c r="HA79" s="10"/>
      <c r="HB79" s="10"/>
      <c r="HC79" s="10"/>
      <c r="HD79" s="10"/>
      <c r="HE79" s="10"/>
      <c r="HF79" s="10"/>
      <c r="HG79" s="10"/>
      <c r="HH79" s="10"/>
      <c r="HI79" s="10"/>
      <c r="HJ79" s="10"/>
      <c r="HK79" s="10"/>
      <c r="HL79" s="10"/>
      <c r="HM79" s="10"/>
      <c r="HN79" s="10"/>
      <c r="HO79" s="10"/>
      <c r="HP79" s="10"/>
      <c r="HQ79" s="10"/>
      <c r="HR79" s="10"/>
      <c r="HS79" s="10"/>
      <c r="HT79" s="10"/>
      <c r="HU79" s="10"/>
      <c r="HV79" s="10"/>
      <c r="HW79" s="10"/>
      <c r="HX79" s="10"/>
      <c r="HY79" s="10"/>
      <c r="HZ79" s="10"/>
      <c r="IA79" s="10"/>
      <c r="IB79" s="10"/>
      <c r="IC79" s="10"/>
      <c r="ID79" s="10"/>
      <c r="IE79" s="10"/>
      <c r="IF79" s="10"/>
      <c r="IG79" s="10"/>
      <c r="IH79" s="10"/>
      <c r="II79" s="10"/>
      <c r="IJ79" s="10"/>
      <c r="IK79" s="10"/>
      <c r="IL79" s="10"/>
      <c r="IM79" s="10"/>
      <c r="IN79" s="10"/>
      <c r="IO79" s="10"/>
      <c r="IP79" s="10"/>
      <c r="IQ79" s="10"/>
      <c r="IR79" s="10"/>
      <c r="IS79" s="10"/>
      <c r="IT79" s="10"/>
      <c r="IU79" s="10"/>
      <c r="IV79" s="10"/>
      <c r="IW79" s="10"/>
      <c r="IX79" s="10"/>
      <c r="IY79" s="10"/>
      <c r="IZ79" s="10"/>
      <c r="JA79" s="10"/>
      <c r="JB79" s="10"/>
    </row>
    <row r="80" spans="1:262" ht="24" customHeight="1">
      <c r="A80" s="10"/>
      <c r="B80" s="10"/>
      <c r="C80" s="181" t="s">
        <v>92</v>
      </c>
      <c r="D80" s="182"/>
      <c r="E80" s="182"/>
      <c r="F80" s="182"/>
      <c r="G80" s="182"/>
      <c r="H80" s="182"/>
      <c r="I80" s="182"/>
      <c r="J80" s="182"/>
      <c r="K80" s="182"/>
      <c r="L80" s="182"/>
      <c r="M80" s="182"/>
      <c r="N80" s="182"/>
      <c r="O80" s="182"/>
      <c r="P80" s="182" t="s">
        <v>93</v>
      </c>
      <c r="Q80" s="182"/>
      <c r="R80" s="182"/>
      <c r="S80" s="182"/>
      <c r="T80" s="185"/>
      <c r="U80" s="188" t="s">
        <v>94</v>
      </c>
      <c r="V80" s="188"/>
      <c r="W80" s="188"/>
      <c r="X80" s="188"/>
      <c r="Y80" s="188"/>
      <c r="Z80" s="188"/>
      <c r="AA80" s="188"/>
      <c r="AB80" s="189"/>
      <c r="AC80" s="189"/>
      <c r="AD80" s="189"/>
      <c r="AE80" s="189"/>
      <c r="AF80" s="189"/>
      <c r="AG80" s="189"/>
      <c r="AH80" s="189"/>
      <c r="AI80" s="188" t="s">
        <v>95</v>
      </c>
      <c r="AJ80" s="188"/>
      <c r="AK80" s="188"/>
      <c r="AL80" s="188"/>
      <c r="AM80" s="188"/>
      <c r="AN80" s="188"/>
      <c r="AO80" s="188"/>
      <c r="AP80" s="188"/>
      <c r="AQ80" s="188"/>
      <c r="AR80" s="190"/>
      <c r="AS80" s="10"/>
      <c r="AT80" s="10"/>
      <c r="AU80" s="10"/>
      <c r="AV80" s="10"/>
      <c r="AW80" s="10"/>
      <c r="AX80" s="10"/>
      <c r="AY80" s="10"/>
      <c r="AZ80" s="10"/>
      <c r="BA80" s="10"/>
      <c r="BB80" s="10"/>
      <c r="BC80" s="10"/>
      <c r="BD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c r="FM80" s="10"/>
      <c r="FN80" s="10"/>
      <c r="FO80" s="10"/>
      <c r="FP80" s="10"/>
      <c r="FQ80" s="10"/>
      <c r="FR80" s="10"/>
      <c r="FS80" s="10"/>
      <c r="FT80" s="10"/>
      <c r="FU80" s="10"/>
      <c r="FV80" s="10"/>
      <c r="FW80" s="10"/>
      <c r="FX80" s="10"/>
      <c r="FY80" s="10"/>
      <c r="FZ80" s="10"/>
      <c r="GA80" s="10"/>
      <c r="GB80" s="10"/>
      <c r="GC80" s="10"/>
      <c r="GD80" s="10"/>
      <c r="GE80" s="10"/>
      <c r="GF80" s="10"/>
      <c r="GG80" s="10"/>
      <c r="GH80" s="10"/>
      <c r="GI80" s="10"/>
      <c r="GJ80" s="10"/>
      <c r="GK80" s="10"/>
      <c r="GL80" s="10"/>
      <c r="GM80" s="10"/>
      <c r="GN80" s="10"/>
      <c r="GO80" s="10"/>
      <c r="GP80" s="10"/>
      <c r="GQ80" s="10"/>
      <c r="GR80" s="10"/>
      <c r="GS80" s="10"/>
      <c r="GT80" s="10"/>
      <c r="GU80" s="10"/>
      <c r="GV80" s="10"/>
      <c r="GW80" s="10"/>
      <c r="GX80" s="10"/>
      <c r="GY80" s="10"/>
      <c r="GZ80" s="10"/>
      <c r="HA80" s="10"/>
      <c r="HB80" s="10"/>
      <c r="HC80" s="10"/>
      <c r="HD80" s="10"/>
      <c r="HE80" s="10"/>
      <c r="HF80" s="10"/>
      <c r="HG80" s="10"/>
      <c r="HH80" s="10"/>
      <c r="HI80" s="10"/>
      <c r="HJ80" s="10"/>
      <c r="HK80" s="10"/>
      <c r="HL80" s="10"/>
      <c r="HM80" s="10"/>
      <c r="HN80" s="10"/>
      <c r="HO80" s="10"/>
      <c r="HP80" s="10"/>
      <c r="HQ80" s="10"/>
      <c r="HR80" s="10"/>
      <c r="HS80" s="10"/>
      <c r="HT80" s="10"/>
      <c r="HU80" s="10"/>
      <c r="HV80" s="10"/>
      <c r="HW80" s="10"/>
      <c r="HX80" s="10"/>
      <c r="HY80" s="10"/>
      <c r="HZ80" s="10"/>
      <c r="IA80" s="10"/>
      <c r="IB80" s="10"/>
      <c r="IC80" s="10"/>
      <c r="ID80" s="10"/>
      <c r="IE80" s="10"/>
      <c r="IF80" s="10"/>
      <c r="IG80" s="10"/>
      <c r="IH80" s="10"/>
      <c r="II80" s="10"/>
      <c r="IJ80" s="10"/>
      <c r="IK80" s="10"/>
      <c r="IL80" s="10"/>
      <c r="IM80" s="10"/>
      <c r="IN80" s="10"/>
      <c r="IO80" s="10"/>
      <c r="IP80" s="10"/>
      <c r="IQ80" s="10"/>
      <c r="IR80" s="10"/>
      <c r="IS80" s="10"/>
      <c r="IT80" s="10"/>
      <c r="IU80" s="10"/>
      <c r="IV80" s="10"/>
      <c r="IW80" s="10"/>
      <c r="IX80" s="10"/>
      <c r="IY80" s="10"/>
      <c r="IZ80" s="10"/>
      <c r="JA80" s="10"/>
      <c r="JB80" s="10"/>
    </row>
    <row r="81" spans="1:262" ht="24" customHeight="1">
      <c r="A81" s="10"/>
      <c r="B81" s="10"/>
      <c r="C81" s="183"/>
      <c r="D81" s="184"/>
      <c r="E81" s="184"/>
      <c r="F81" s="184"/>
      <c r="G81" s="184"/>
      <c r="H81" s="184"/>
      <c r="I81" s="184"/>
      <c r="J81" s="184"/>
      <c r="K81" s="184"/>
      <c r="L81" s="184"/>
      <c r="M81" s="184"/>
      <c r="N81" s="184"/>
      <c r="O81" s="184"/>
      <c r="P81" s="186"/>
      <c r="Q81" s="186"/>
      <c r="R81" s="186"/>
      <c r="S81" s="186"/>
      <c r="T81" s="187"/>
      <c r="U81" s="192" t="s">
        <v>96</v>
      </c>
      <c r="V81" s="192"/>
      <c r="W81" s="192"/>
      <c r="X81" s="192"/>
      <c r="Y81" s="192"/>
      <c r="Z81" s="192"/>
      <c r="AA81" s="194"/>
      <c r="AB81" s="192" t="s">
        <v>97</v>
      </c>
      <c r="AC81" s="192"/>
      <c r="AD81" s="192"/>
      <c r="AE81" s="192"/>
      <c r="AF81" s="192"/>
      <c r="AG81" s="192"/>
      <c r="AH81" s="192"/>
      <c r="AI81" s="191"/>
      <c r="AJ81" s="192"/>
      <c r="AK81" s="192"/>
      <c r="AL81" s="192"/>
      <c r="AM81" s="192"/>
      <c r="AN81" s="192"/>
      <c r="AO81" s="192"/>
      <c r="AP81" s="192"/>
      <c r="AQ81" s="192"/>
      <c r="AR81" s="193"/>
      <c r="AS81" s="10"/>
      <c r="AT81" s="10"/>
      <c r="AU81" s="10"/>
      <c r="AV81" s="10"/>
      <c r="AW81" s="10"/>
      <c r="AX81" s="10"/>
      <c r="AY81" s="10"/>
      <c r="AZ81" s="10"/>
      <c r="BA81" s="10"/>
      <c r="BB81" s="10"/>
      <c r="BC81" s="10"/>
      <c r="BD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c r="FZ81" s="10"/>
      <c r="GA81" s="10"/>
      <c r="GB81" s="10"/>
      <c r="GC81" s="10"/>
      <c r="GD81" s="10"/>
      <c r="GE81" s="10"/>
      <c r="GF81" s="10"/>
      <c r="GG81" s="10"/>
      <c r="GH81" s="10"/>
      <c r="GI81" s="10"/>
      <c r="GJ81" s="10"/>
      <c r="GK81" s="10"/>
      <c r="GL81" s="10"/>
      <c r="GM81" s="10"/>
      <c r="GN81" s="10"/>
      <c r="GO81" s="10"/>
      <c r="GP81" s="10"/>
      <c r="GQ81" s="10"/>
      <c r="GR81" s="10"/>
      <c r="GS81" s="10"/>
      <c r="GT81" s="10"/>
      <c r="GU81" s="10"/>
      <c r="GV81" s="10"/>
      <c r="GW81" s="10"/>
      <c r="GX81" s="10"/>
      <c r="GY81" s="10"/>
      <c r="GZ81" s="10"/>
      <c r="HA81" s="10"/>
      <c r="HB81" s="10"/>
      <c r="HC81" s="10"/>
      <c r="HD81" s="10"/>
      <c r="HE81" s="10"/>
      <c r="HF81" s="10"/>
      <c r="HG81" s="10"/>
      <c r="HH81" s="10"/>
      <c r="HI81" s="10"/>
      <c r="HJ81" s="10"/>
      <c r="HK81" s="10"/>
      <c r="HL81" s="10"/>
      <c r="HM81" s="10"/>
      <c r="HN81" s="10"/>
      <c r="HO81" s="10"/>
      <c r="HP81" s="10"/>
      <c r="HQ81" s="10"/>
      <c r="HR81" s="10"/>
      <c r="HS81" s="10"/>
      <c r="HT81" s="10"/>
      <c r="HU81" s="10"/>
      <c r="HV81" s="10"/>
      <c r="HW81" s="10"/>
      <c r="HX81" s="10"/>
      <c r="HY81" s="10"/>
      <c r="HZ81" s="10"/>
      <c r="IA81" s="10"/>
      <c r="IB81" s="10"/>
      <c r="IC81" s="10"/>
      <c r="ID81" s="10"/>
      <c r="IE81" s="10"/>
      <c r="IF81" s="10"/>
      <c r="IG81" s="10"/>
      <c r="IH81" s="10"/>
      <c r="II81" s="10"/>
      <c r="IJ81" s="10"/>
      <c r="IK81" s="10"/>
      <c r="IL81" s="10"/>
      <c r="IM81" s="10"/>
      <c r="IN81" s="10"/>
      <c r="IO81" s="10"/>
      <c r="IP81" s="10"/>
      <c r="IQ81" s="10"/>
      <c r="IR81" s="10"/>
      <c r="IS81" s="10"/>
      <c r="IT81" s="10"/>
      <c r="IU81" s="10"/>
      <c r="IV81" s="10"/>
      <c r="IW81" s="10"/>
      <c r="IX81" s="10"/>
      <c r="IY81" s="10"/>
      <c r="IZ81" s="10"/>
      <c r="JA81" s="10"/>
      <c r="JB81" s="10"/>
    </row>
    <row r="82" spans="1:262" ht="23.25" customHeight="1">
      <c r="A82" s="10"/>
      <c r="B82" s="10"/>
      <c r="C82" s="163" t="s">
        <v>3</v>
      </c>
      <c r="D82" s="161"/>
      <c r="E82" s="161"/>
      <c r="F82" s="161"/>
      <c r="G82" s="161"/>
      <c r="H82" s="161"/>
      <c r="I82" s="161"/>
      <c r="J82" s="161"/>
      <c r="K82" s="161"/>
      <c r="L82" s="161"/>
      <c r="M82" s="161"/>
      <c r="N82" s="161"/>
      <c r="O82" s="162"/>
      <c r="P82" s="161" t="s">
        <v>98</v>
      </c>
      <c r="Q82" s="161"/>
      <c r="R82" s="161"/>
      <c r="S82" s="161"/>
      <c r="T82" s="161"/>
      <c r="U82" s="169">
        <v>0.6</v>
      </c>
      <c r="V82" s="166"/>
      <c r="W82" s="166"/>
      <c r="X82" s="166"/>
      <c r="Y82" s="166"/>
      <c r="Z82" s="166"/>
      <c r="AA82" s="166"/>
      <c r="AB82" s="170">
        <v>0.15</v>
      </c>
      <c r="AC82" s="170"/>
      <c r="AD82" s="170"/>
      <c r="AE82" s="170"/>
      <c r="AF82" s="170"/>
      <c r="AG82" s="170"/>
      <c r="AH82" s="170"/>
      <c r="AI82" s="155" t="s">
        <v>99</v>
      </c>
      <c r="AJ82" s="156"/>
      <c r="AK82" s="156"/>
      <c r="AL82" s="156"/>
      <c r="AM82" s="156"/>
      <c r="AN82" s="156"/>
      <c r="AO82" s="156"/>
      <c r="AP82" s="156"/>
      <c r="AQ82" s="156"/>
      <c r="AR82" s="171"/>
      <c r="AS82" s="10"/>
      <c r="AT82" s="10"/>
      <c r="AU82" s="10"/>
      <c r="AV82" s="10"/>
      <c r="AW82" s="10"/>
      <c r="AX82" s="10"/>
      <c r="AY82" s="10"/>
      <c r="AZ82" s="10"/>
      <c r="BA82" s="10"/>
      <c r="BB82" s="10"/>
      <c r="BC82" s="10"/>
      <c r="BD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c r="EK82" s="10"/>
      <c r="EL82" s="10"/>
      <c r="EM82" s="10"/>
      <c r="EN82" s="10"/>
      <c r="EO82" s="10"/>
      <c r="EP82" s="10"/>
      <c r="EQ82" s="10"/>
      <c r="ER82" s="10"/>
      <c r="ES82" s="10"/>
      <c r="ET82" s="10"/>
      <c r="EU82" s="10"/>
      <c r="EV82" s="10"/>
      <c r="EW82" s="10"/>
      <c r="EX82" s="10"/>
      <c r="EY82" s="10"/>
      <c r="EZ82" s="10"/>
      <c r="FA82" s="10"/>
      <c r="FB82" s="10"/>
      <c r="FC82" s="10"/>
      <c r="FD82" s="10"/>
      <c r="FE82" s="10"/>
      <c r="FF82" s="10"/>
      <c r="FG82" s="10"/>
      <c r="FH82" s="10"/>
      <c r="FI82" s="10"/>
      <c r="FJ82" s="10"/>
      <c r="FK82" s="10"/>
      <c r="FL82" s="10"/>
      <c r="FM82" s="10"/>
      <c r="FN82" s="10"/>
      <c r="FO82" s="10"/>
      <c r="FP82" s="10"/>
      <c r="FQ82" s="10"/>
      <c r="FR82" s="10"/>
      <c r="FS82" s="10"/>
      <c r="FT82" s="10"/>
      <c r="FU82" s="10"/>
      <c r="FV82" s="10"/>
      <c r="FW82" s="10"/>
      <c r="FX82" s="10"/>
      <c r="FY82" s="10"/>
      <c r="FZ82" s="10"/>
      <c r="GA82" s="10"/>
      <c r="GB82" s="10"/>
      <c r="GC82" s="10"/>
      <c r="GD82" s="10"/>
      <c r="GE82" s="10"/>
      <c r="GF82" s="10"/>
      <c r="GG82" s="10"/>
      <c r="GH82" s="10"/>
      <c r="GI82" s="10"/>
      <c r="GJ82" s="10"/>
      <c r="GK82" s="10"/>
      <c r="GL82" s="10"/>
      <c r="GM82" s="10"/>
      <c r="GN82" s="10"/>
      <c r="GO82" s="10"/>
      <c r="GP82" s="10"/>
      <c r="GQ82" s="10"/>
      <c r="GR82" s="10"/>
      <c r="GS82" s="10"/>
      <c r="GT82" s="10"/>
      <c r="GU82" s="10"/>
      <c r="GV82" s="10"/>
      <c r="GW82" s="10"/>
      <c r="GX82" s="10"/>
      <c r="GY82" s="10"/>
      <c r="GZ82" s="10"/>
      <c r="HA82" s="10"/>
      <c r="HB82" s="10"/>
      <c r="HC82" s="10"/>
      <c r="HD82" s="10"/>
      <c r="HE82" s="10"/>
      <c r="HF82" s="10"/>
      <c r="HG82" s="10"/>
      <c r="HH82" s="10"/>
      <c r="HI82" s="10"/>
      <c r="HJ82" s="10"/>
      <c r="HK82" s="10"/>
      <c r="HL82" s="10"/>
      <c r="HM82" s="10"/>
      <c r="HN82" s="10"/>
      <c r="HO82" s="10"/>
      <c r="HP82" s="10"/>
      <c r="HQ82" s="10"/>
      <c r="HR82" s="10"/>
      <c r="HS82" s="10"/>
      <c r="HT82" s="10"/>
      <c r="HU82" s="10"/>
      <c r="HV82" s="10"/>
      <c r="HW82" s="10"/>
      <c r="HX82" s="10"/>
      <c r="HY82" s="10"/>
      <c r="HZ82" s="10"/>
      <c r="IA82" s="10"/>
      <c r="IB82" s="10"/>
      <c r="IC82" s="10"/>
      <c r="ID82" s="10"/>
      <c r="IE82" s="10"/>
      <c r="IF82" s="10"/>
      <c r="IG82" s="10"/>
      <c r="IH82" s="10"/>
      <c r="II82" s="10"/>
      <c r="IJ82" s="10"/>
      <c r="IK82" s="10"/>
      <c r="IL82" s="10"/>
      <c r="IM82" s="10"/>
      <c r="IN82" s="10"/>
      <c r="IO82" s="10"/>
      <c r="IP82" s="10"/>
      <c r="IQ82" s="10"/>
      <c r="IR82" s="10"/>
      <c r="IS82" s="10"/>
      <c r="IT82" s="10"/>
      <c r="IU82" s="10"/>
      <c r="IV82" s="10"/>
      <c r="IW82" s="10"/>
      <c r="IX82" s="10"/>
      <c r="IY82" s="10"/>
      <c r="IZ82" s="10"/>
      <c r="JA82" s="10"/>
      <c r="JB82" s="10"/>
    </row>
    <row r="83" spans="1:262" ht="23.25" customHeight="1">
      <c r="A83" s="10"/>
      <c r="B83" s="10"/>
      <c r="C83" s="163"/>
      <c r="D83" s="161"/>
      <c r="E83" s="161"/>
      <c r="F83" s="161"/>
      <c r="G83" s="161"/>
      <c r="H83" s="161"/>
      <c r="I83" s="161"/>
      <c r="J83" s="161"/>
      <c r="K83" s="161"/>
      <c r="L83" s="161"/>
      <c r="M83" s="161"/>
      <c r="N83" s="161"/>
      <c r="O83" s="162"/>
      <c r="P83" s="161" t="s">
        <v>100</v>
      </c>
      <c r="Q83" s="161"/>
      <c r="R83" s="161"/>
      <c r="S83" s="161"/>
      <c r="T83" s="161"/>
      <c r="U83" s="169">
        <v>0.45</v>
      </c>
      <c r="V83" s="166"/>
      <c r="W83" s="166"/>
      <c r="X83" s="166"/>
      <c r="Y83" s="166"/>
      <c r="Z83" s="166"/>
      <c r="AA83" s="166"/>
      <c r="AB83" s="166"/>
      <c r="AC83" s="166"/>
      <c r="AD83" s="166"/>
      <c r="AE83" s="166"/>
      <c r="AF83" s="166"/>
      <c r="AG83" s="166"/>
      <c r="AH83" s="166"/>
      <c r="AI83" s="172"/>
      <c r="AJ83" s="173"/>
      <c r="AK83" s="173"/>
      <c r="AL83" s="173"/>
      <c r="AM83" s="173"/>
      <c r="AN83" s="173"/>
      <c r="AO83" s="173"/>
      <c r="AP83" s="173"/>
      <c r="AQ83" s="173"/>
      <c r="AR83" s="174"/>
      <c r="AS83" s="10"/>
      <c r="AT83" s="10"/>
      <c r="AU83" s="10"/>
      <c r="AV83" s="10"/>
      <c r="AW83" s="10"/>
      <c r="AX83" s="10"/>
      <c r="AY83" s="10"/>
      <c r="AZ83" s="10"/>
      <c r="BA83" s="10"/>
      <c r="BB83" s="10"/>
      <c r="BC83" s="10"/>
      <c r="BD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c r="FT83" s="10"/>
      <c r="FU83" s="10"/>
      <c r="FV83" s="10"/>
      <c r="FW83" s="10"/>
      <c r="FX83" s="10"/>
      <c r="FY83" s="10"/>
      <c r="FZ83" s="10"/>
      <c r="GA83" s="10"/>
      <c r="GB83" s="10"/>
      <c r="GC83" s="10"/>
      <c r="GD83" s="10"/>
      <c r="GE83" s="10"/>
      <c r="GF83" s="10"/>
      <c r="GG83" s="10"/>
      <c r="GH83" s="10"/>
      <c r="GI83" s="10"/>
      <c r="GJ83" s="10"/>
      <c r="GK83" s="10"/>
      <c r="GL83" s="10"/>
      <c r="GM83" s="10"/>
      <c r="GN83" s="10"/>
      <c r="GO83" s="10"/>
      <c r="GP83" s="10"/>
      <c r="GQ83" s="10"/>
      <c r="GR83" s="10"/>
      <c r="GS83" s="10"/>
      <c r="GT83" s="10"/>
      <c r="GU83" s="10"/>
      <c r="GV83" s="10"/>
      <c r="GW83" s="10"/>
      <c r="GX83" s="10"/>
      <c r="GY83" s="10"/>
      <c r="GZ83" s="10"/>
      <c r="HA83" s="10"/>
      <c r="HB83" s="10"/>
      <c r="HC83" s="10"/>
      <c r="HD83" s="10"/>
      <c r="HE83" s="10"/>
      <c r="HF83" s="10"/>
      <c r="HG83" s="10"/>
      <c r="HH83" s="10"/>
      <c r="HI83" s="10"/>
      <c r="HJ83" s="10"/>
      <c r="HK83" s="10"/>
      <c r="HL83" s="10"/>
      <c r="HM83" s="10"/>
      <c r="HN83" s="10"/>
      <c r="HO83" s="10"/>
      <c r="HP83" s="10"/>
      <c r="HQ83" s="10"/>
      <c r="HR83" s="10"/>
      <c r="HS83" s="10"/>
      <c r="HT83" s="10"/>
      <c r="HU83" s="10"/>
      <c r="HV83" s="10"/>
      <c r="HW83" s="10"/>
      <c r="HX83" s="10"/>
      <c r="HY83" s="10"/>
      <c r="HZ83" s="10"/>
      <c r="IA83" s="10"/>
      <c r="IB83" s="10"/>
      <c r="IC83" s="10"/>
      <c r="ID83" s="10"/>
      <c r="IE83" s="10"/>
      <c r="IF83" s="10"/>
      <c r="IG83" s="10"/>
      <c r="IH83" s="10"/>
      <c r="II83" s="10"/>
      <c r="IJ83" s="10"/>
      <c r="IK83" s="10"/>
      <c r="IL83" s="10"/>
      <c r="IM83" s="10"/>
      <c r="IN83" s="10"/>
      <c r="IO83" s="10"/>
      <c r="IP83" s="10"/>
      <c r="IQ83" s="10"/>
      <c r="IR83" s="10"/>
      <c r="IS83" s="10"/>
      <c r="IT83" s="10"/>
      <c r="IU83" s="10"/>
      <c r="IV83" s="10"/>
      <c r="IW83" s="10"/>
      <c r="IX83" s="10"/>
      <c r="IY83" s="10"/>
      <c r="IZ83" s="10"/>
      <c r="JA83" s="10"/>
      <c r="JB83" s="10"/>
    </row>
    <row r="84" spans="1:262" ht="23.25" customHeight="1">
      <c r="A84" s="10"/>
      <c r="B84" s="10"/>
      <c r="C84" s="163" t="s">
        <v>101</v>
      </c>
      <c r="D84" s="161"/>
      <c r="E84" s="161"/>
      <c r="F84" s="161"/>
      <c r="G84" s="161"/>
      <c r="H84" s="161"/>
      <c r="I84" s="161"/>
      <c r="J84" s="161"/>
      <c r="K84" s="161"/>
      <c r="L84" s="161"/>
      <c r="M84" s="161"/>
      <c r="N84" s="161"/>
      <c r="O84" s="161"/>
      <c r="P84" s="178" t="s">
        <v>98</v>
      </c>
      <c r="Q84" s="178"/>
      <c r="R84" s="178"/>
      <c r="S84" s="178"/>
      <c r="T84" s="179"/>
      <c r="U84" s="155">
        <v>0.45</v>
      </c>
      <c r="V84" s="156"/>
      <c r="W84" s="156"/>
      <c r="X84" s="156"/>
      <c r="Y84" s="156"/>
      <c r="Z84" s="156"/>
      <c r="AA84" s="157"/>
      <c r="AB84" s="166"/>
      <c r="AC84" s="166"/>
      <c r="AD84" s="166"/>
      <c r="AE84" s="166"/>
      <c r="AF84" s="166"/>
      <c r="AG84" s="166"/>
      <c r="AH84" s="166"/>
      <c r="AI84" s="172"/>
      <c r="AJ84" s="173"/>
      <c r="AK84" s="173"/>
      <c r="AL84" s="173"/>
      <c r="AM84" s="173"/>
      <c r="AN84" s="173"/>
      <c r="AO84" s="173"/>
      <c r="AP84" s="173"/>
      <c r="AQ84" s="173"/>
      <c r="AR84" s="174"/>
      <c r="AS84" s="10"/>
      <c r="AT84" s="10"/>
      <c r="AU84" s="10"/>
      <c r="AV84" s="10"/>
      <c r="AW84" s="10"/>
      <c r="AX84" s="10"/>
      <c r="AY84" s="10"/>
      <c r="AZ84" s="10"/>
      <c r="BA84" s="10"/>
      <c r="BB84" s="10"/>
      <c r="BC84" s="10"/>
      <c r="BD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c r="FT84" s="10"/>
      <c r="FU84" s="10"/>
      <c r="FV84" s="10"/>
      <c r="FW84" s="10"/>
      <c r="FX84" s="10"/>
      <c r="FY84" s="10"/>
      <c r="FZ84" s="10"/>
      <c r="GA84" s="10"/>
      <c r="GB84" s="10"/>
      <c r="GC84" s="10"/>
      <c r="GD84" s="10"/>
      <c r="GE84" s="10"/>
      <c r="GF84" s="10"/>
      <c r="GG84" s="10"/>
      <c r="GH84" s="10"/>
      <c r="GI84" s="10"/>
      <c r="GJ84" s="10"/>
      <c r="GK84" s="10"/>
      <c r="GL84" s="10"/>
      <c r="GM84" s="10"/>
      <c r="GN84" s="10"/>
      <c r="GO84" s="10"/>
      <c r="GP84" s="10"/>
      <c r="GQ84" s="10"/>
      <c r="GR84" s="10"/>
      <c r="GS84" s="10"/>
      <c r="GT84" s="10"/>
      <c r="GU84" s="10"/>
      <c r="GV84" s="10"/>
      <c r="GW84" s="10"/>
      <c r="GX84" s="10"/>
      <c r="GY84" s="10"/>
      <c r="GZ84" s="10"/>
      <c r="HA84" s="10"/>
      <c r="HB84" s="10"/>
      <c r="HC84" s="10"/>
      <c r="HD84" s="10"/>
      <c r="HE84" s="10"/>
      <c r="HF84" s="10"/>
      <c r="HG84" s="10"/>
      <c r="HH84" s="10"/>
      <c r="HI84" s="10"/>
      <c r="HJ84" s="10"/>
      <c r="HK84" s="10"/>
      <c r="HL84" s="10"/>
      <c r="HM84" s="10"/>
      <c r="HN84" s="10"/>
      <c r="HO84" s="10"/>
      <c r="HP84" s="10"/>
      <c r="HQ84" s="10"/>
      <c r="HR84" s="10"/>
      <c r="HS84" s="10"/>
      <c r="HT84" s="10"/>
      <c r="HU84" s="10"/>
      <c r="HV84" s="10"/>
      <c r="HW84" s="10"/>
      <c r="HX84" s="10"/>
      <c r="HY84" s="10"/>
      <c r="HZ84" s="10"/>
      <c r="IA84" s="10"/>
      <c r="IB84" s="10"/>
      <c r="IC84" s="10"/>
      <c r="ID84" s="10"/>
      <c r="IE84" s="10"/>
      <c r="IF84" s="10"/>
      <c r="IG84" s="10"/>
      <c r="IH84" s="10"/>
      <c r="II84" s="10"/>
      <c r="IJ84" s="10"/>
      <c r="IK84" s="10"/>
      <c r="IL84" s="10"/>
      <c r="IM84" s="10"/>
      <c r="IN84" s="10"/>
      <c r="IO84" s="10"/>
      <c r="IP84" s="10"/>
      <c r="IQ84" s="10"/>
      <c r="IR84" s="10"/>
      <c r="IS84" s="10"/>
      <c r="IT84" s="10"/>
      <c r="IU84" s="10"/>
      <c r="IV84" s="10"/>
      <c r="IW84" s="10"/>
      <c r="IX84" s="10"/>
      <c r="IY84" s="10"/>
      <c r="IZ84" s="10"/>
      <c r="JA84" s="10"/>
      <c r="JB84" s="10"/>
    </row>
    <row r="85" spans="1:262" ht="23.25" customHeight="1">
      <c r="A85" s="10"/>
      <c r="B85" s="10"/>
      <c r="C85" s="163"/>
      <c r="D85" s="161"/>
      <c r="E85" s="161"/>
      <c r="F85" s="161"/>
      <c r="G85" s="161"/>
      <c r="H85" s="161"/>
      <c r="I85" s="161"/>
      <c r="J85" s="161"/>
      <c r="K85" s="161"/>
      <c r="L85" s="161"/>
      <c r="M85" s="161"/>
      <c r="N85" s="161"/>
      <c r="O85" s="161"/>
      <c r="P85" s="161" t="s">
        <v>100</v>
      </c>
      <c r="Q85" s="161"/>
      <c r="R85" s="161"/>
      <c r="S85" s="161"/>
      <c r="T85" s="162"/>
      <c r="U85" s="158"/>
      <c r="V85" s="159"/>
      <c r="W85" s="159"/>
      <c r="X85" s="159"/>
      <c r="Y85" s="159"/>
      <c r="Z85" s="159"/>
      <c r="AA85" s="160"/>
      <c r="AB85" s="166"/>
      <c r="AC85" s="166"/>
      <c r="AD85" s="166"/>
      <c r="AE85" s="166"/>
      <c r="AF85" s="166"/>
      <c r="AG85" s="166"/>
      <c r="AH85" s="166"/>
      <c r="AI85" s="172"/>
      <c r="AJ85" s="173"/>
      <c r="AK85" s="173"/>
      <c r="AL85" s="173"/>
      <c r="AM85" s="173"/>
      <c r="AN85" s="173"/>
      <c r="AO85" s="173"/>
      <c r="AP85" s="173"/>
      <c r="AQ85" s="173"/>
      <c r="AR85" s="174"/>
      <c r="AS85" s="10"/>
      <c r="AT85" s="10"/>
      <c r="AU85" s="10"/>
      <c r="AV85" s="10"/>
      <c r="AW85" s="10"/>
      <c r="AX85" s="10"/>
      <c r="AY85" s="10"/>
      <c r="AZ85" s="10"/>
      <c r="BA85" s="10"/>
      <c r="BB85" s="10"/>
      <c r="BC85" s="10"/>
      <c r="BD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c r="FZ85" s="10"/>
      <c r="GA85" s="10"/>
      <c r="GB85" s="10"/>
      <c r="GC85" s="10"/>
      <c r="GD85" s="10"/>
      <c r="GE85" s="10"/>
      <c r="GF85" s="10"/>
      <c r="GG85" s="10"/>
      <c r="GH85" s="10"/>
      <c r="GI85" s="10"/>
      <c r="GJ85" s="10"/>
      <c r="GK85" s="10"/>
      <c r="GL85" s="10"/>
      <c r="GM85" s="10"/>
      <c r="GN85" s="10"/>
      <c r="GO85" s="10"/>
      <c r="GP85" s="10"/>
      <c r="GQ85" s="10"/>
      <c r="GR85" s="10"/>
      <c r="GS85" s="10"/>
      <c r="GT85" s="10"/>
      <c r="GU85" s="10"/>
      <c r="GV85" s="10"/>
      <c r="GW85" s="10"/>
      <c r="GX85" s="10"/>
      <c r="GY85" s="10"/>
      <c r="GZ85" s="10"/>
      <c r="HA85" s="10"/>
      <c r="HB85" s="10"/>
      <c r="HC85" s="10"/>
      <c r="HD85" s="10"/>
      <c r="HE85" s="10"/>
      <c r="HF85" s="10"/>
      <c r="HG85" s="10"/>
      <c r="HH85" s="10"/>
      <c r="HI85" s="10"/>
      <c r="HJ85" s="10"/>
      <c r="HK85" s="10"/>
      <c r="HL85" s="10"/>
      <c r="HM85" s="10"/>
      <c r="HN85" s="10"/>
      <c r="HO85" s="10"/>
      <c r="HP85" s="10"/>
      <c r="HQ85" s="10"/>
      <c r="HR85" s="10"/>
      <c r="HS85" s="10"/>
      <c r="HT85" s="10"/>
      <c r="HU85" s="10"/>
      <c r="HV85" s="10"/>
      <c r="HW85" s="10"/>
      <c r="HX85" s="10"/>
      <c r="HY85" s="10"/>
      <c r="HZ85" s="10"/>
      <c r="IA85" s="10"/>
      <c r="IB85" s="10"/>
      <c r="IC85" s="10"/>
      <c r="ID85" s="10"/>
      <c r="IE85" s="10"/>
      <c r="IF85" s="10"/>
      <c r="IG85" s="10"/>
      <c r="IH85" s="10"/>
      <c r="II85" s="10"/>
      <c r="IJ85" s="10"/>
      <c r="IK85" s="10"/>
      <c r="IL85" s="10"/>
      <c r="IM85" s="10"/>
      <c r="IN85" s="10"/>
      <c r="IO85" s="10"/>
      <c r="IP85" s="10"/>
      <c r="IQ85" s="10"/>
      <c r="IR85" s="10"/>
      <c r="IS85" s="10"/>
      <c r="IT85" s="10"/>
      <c r="IU85" s="10"/>
      <c r="IV85" s="10"/>
      <c r="IW85" s="10"/>
      <c r="IX85" s="10"/>
      <c r="IY85" s="10"/>
      <c r="IZ85" s="10"/>
      <c r="JA85" s="10"/>
      <c r="JB85" s="10"/>
    </row>
    <row r="86" spans="1:262" ht="23.25" customHeight="1">
      <c r="A86" s="10"/>
      <c r="B86" s="10"/>
      <c r="C86" s="163" t="s">
        <v>102</v>
      </c>
      <c r="D86" s="161"/>
      <c r="E86" s="161"/>
      <c r="F86" s="161"/>
      <c r="G86" s="161"/>
      <c r="H86" s="161"/>
      <c r="I86" s="161"/>
      <c r="J86" s="161"/>
      <c r="K86" s="161"/>
      <c r="L86" s="161"/>
      <c r="M86" s="161"/>
      <c r="N86" s="161"/>
      <c r="O86" s="161"/>
      <c r="P86" s="161" t="s">
        <v>98</v>
      </c>
      <c r="Q86" s="161"/>
      <c r="R86" s="161"/>
      <c r="S86" s="161"/>
      <c r="T86" s="162"/>
      <c r="U86" s="166">
        <v>0.75</v>
      </c>
      <c r="V86" s="166"/>
      <c r="W86" s="166"/>
      <c r="X86" s="166"/>
      <c r="Y86" s="166"/>
      <c r="Z86" s="166"/>
      <c r="AA86" s="166"/>
      <c r="AB86" s="166" t="s">
        <v>103</v>
      </c>
      <c r="AC86" s="166"/>
      <c r="AD86" s="166"/>
      <c r="AE86" s="166"/>
      <c r="AF86" s="166"/>
      <c r="AG86" s="166"/>
      <c r="AH86" s="166"/>
      <c r="AI86" s="172"/>
      <c r="AJ86" s="173"/>
      <c r="AK86" s="173"/>
      <c r="AL86" s="173"/>
      <c r="AM86" s="173"/>
      <c r="AN86" s="173"/>
      <c r="AO86" s="173"/>
      <c r="AP86" s="173"/>
      <c r="AQ86" s="173"/>
      <c r="AR86" s="174"/>
      <c r="AS86" s="10"/>
      <c r="AT86" s="10"/>
    </row>
    <row r="87" spans="1:262" ht="23.25" customHeight="1" thickBot="1">
      <c r="C87" s="164"/>
      <c r="D87" s="165"/>
      <c r="E87" s="165"/>
      <c r="F87" s="165"/>
      <c r="G87" s="165"/>
      <c r="H87" s="165"/>
      <c r="I87" s="165"/>
      <c r="J87" s="165"/>
      <c r="K87" s="165"/>
      <c r="L87" s="165"/>
      <c r="M87" s="165"/>
      <c r="N87" s="165"/>
      <c r="O87" s="165"/>
      <c r="P87" s="165" t="s">
        <v>100</v>
      </c>
      <c r="Q87" s="165"/>
      <c r="R87" s="165"/>
      <c r="S87" s="165"/>
      <c r="T87" s="168"/>
      <c r="U87" s="167">
        <v>0.6</v>
      </c>
      <c r="V87" s="167"/>
      <c r="W87" s="167"/>
      <c r="X87" s="167"/>
      <c r="Y87" s="167"/>
      <c r="Z87" s="167"/>
      <c r="AA87" s="167"/>
      <c r="AB87" s="167"/>
      <c r="AC87" s="167"/>
      <c r="AD87" s="167"/>
      <c r="AE87" s="167"/>
      <c r="AF87" s="167"/>
      <c r="AG87" s="167"/>
      <c r="AH87" s="167"/>
      <c r="AI87" s="175"/>
      <c r="AJ87" s="176"/>
      <c r="AK87" s="176"/>
      <c r="AL87" s="176"/>
      <c r="AM87" s="176"/>
      <c r="AN87" s="176"/>
      <c r="AO87" s="176"/>
      <c r="AP87" s="176"/>
      <c r="AQ87" s="176"/>
      <c r="AR87" s="177"/>
    </row>
    <row r="88" spans="1:262" ht="23.25" customHeight="1">
      <c r="C88" s="151"/>
      <c r="D88" s="151"/>
      <c r="E88" s="151"/>
      <c r="F88" s="151"/>
      <c r="G88" s="151"/>
      <c r="H88" s="151"/>
      <c r="I88" s="151"/>
      <c r="J88" s="151"/>
      <c r="K88" s="151"/>
      <c r="L88" s="151"/>
      <c r="M88" s="151"/>
      <c r="N88" s="151"/>
      <c r="O88" s="151"/>
      <c r="P88" s="151"/>
      <c r="Q88" s="151"/>
      <c r="R88" s="151"/>
      <c r="S88" s="151"/>
      <c r="T88" s="151"/>
      <c r="U88" s="153"/>
      <c r="V88" s="153"/>
      <c r="W88" s="153"/>
      <c r="X88" s="153"/>
      <c r="Y88" s="153"/>
      <c r="Z88" s="153"/>
      <c r="AA88" s="153"/>
      <c r="AB88" s="153"/>
      <c r="AC88" s="153"/>
      <c r="AD88" s="153"/>
      <c r="AE88" s="153"/>
      <c r="AF88" s="153"/>
      <c r="AG88" s="153"/>
      <c r="AH88" s="153"/>
      <c r="AI88" s="153"/>
      <c r="AJ88" s="153"/>
      <c r="AK88" s="153"/>
      <c r="AL88" s="153"/>
      <c r="AM88" s="153"/>
      <c r="AN88" s="153"/>
      <c r="AO88" s="153"/>
      <c r="AP88" s="153"/>
      <c r="AQ88" s="153"/>
      <c r="AR88" s="153"/>
    </row>
    <row r="89" spans="1:262" ht="103.5" customHeight="1">
      <c r="A89" s="154" t="s">
        <v>158</v>
      </c>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c r="AA89" s="154"/>
      <c r="AB89" s="154"/>
      <c r="AC89" s="154"/>
      <c r="AD89" s="154"/>
      <c r="AE89" s="154"/>
      <c r="AF89" s="154"/>
      <c r="AG89" s="154"/>
      <c r="AH89" s="154"/>
      <c r="AI89" s="154"/>
      <c r="AJ89" s="154"/>
      <c r="AK89" s="154"/>
      <c r="AL89" s="154"/>
      <c r="AM89" s="154"/>
      <c r="AN89" s="154"/>
      <c r="AO89" s="154"/>
      <c r="AP89" s="154"/>
      <c r="AQ89" s="154"/>
      <c r="AR89" s="154"/>
      <c r="AS89" s="154"/>
      <c r="AT89" s="154"/>
    </row>
  </sheetData>
  <sheetProtection algorithmName="SHA-512" hashValue="2Dok7ykSy6j2F4hmm0bvRX+jAuDOCTO68hq0jOO/NIIWtzq4pThRMD9rVo8j6ssgOQurvv56ft5rjHmhG9d9yA==" saltValue="MMe/ns4tccWLo6577fmXaA==" spinCount="100000" sheet="1" formatCells="0" formatColumns="0" formatRows="0" insertColumns="0" insertRows="0"/>
  <mergeCells count="183">
    <mergeCell ref="AO1:AT1"/>
    <mergeCell ref="A2:M2"/>
    <mergeCell ref="AO2:AT2"/>
    <mergeCell ref="A3:AT3"/>
    <mergeCell ref="BE4:BG4"/>
    <mergeCell ref="B5:I5"/>
    <mergeCell ref="J5:K5"/>
    <mergeCell ref="M5:U5"/>
    <mergeCell ref="V5:W5"/>
    <mergeCell ref="Y5:AG5"/>
    <mergeCell ref="B7:I7"/>
    <mergeCell ref="J7:U7"/>
    <mergeCell ref="V7:W7"/>
    <mergeCell ref="Y7:AF7"/>
    <mergeCell ref="AG7:AR7"/>
    <mergeCell ref="AS7:AT7"/>
    <mergeCell ref="AH5:AI5"/>
    <mergeCell ref="AK5:AT5"/>
    <mergeCell ref="AV5:BC5"/>
    <mergeCell ref="B6:I6"/>
    <mergeCell ref="J6:W6"/>
    <mergeCell ref="Y6:AF6"/>
    <mergeCell ref="AG6:AT6"/>
    <mergeCell ref="AW6:AX6"/>
    <mergeCell ref="AZ6:BC6"/>
    <mergeCell ref="AK9:AN9"/>
    <mergeCell ref="AP9:AS9"/>
    <mergeCell ref="B10:I10"/>
    <mergeCell ref="A12:AT12"/>
    <mergeCell ref="C13:AA13"/>
    <mergeCell ref="AB13:AQ13"/>
    <mergeCell ref="AR13:AS13"/>
    <mergeCell ref="AF8:AI8"/>
    <mergeCell ref="AK8:AN8"/>
    <mergeCell ref="AP8:AS8"/>
    <mergeCell ref="B9:I9"/>
    <mergeCell ref="J9:L9"/>
    <mergeCell ref="M9:P9"/>
    <mergeCell ref="R9:U9"/>
    <mergeCell ref="W9:Z9"/>
    <mergeCell ref="AB9:AE9"/>
    <mergeCell ref="AF9:AI9"/>
    <mergeCell ref="B8:I8"/>
    <mergeCell ref="J8:L8"/>
    <mergeCell ref="M8:P8"/>
    <mergeCell ref="R8:U8"/>
    <mergeCell ref="W8:Z8"/>
    <mergeCell ref="AB8:AE8"/>
    <mergeCell ref="J17:AA17"/>
    <mergeCell ref="AB17:AQ17"/>
    <mergeCell ref="AR17:AS17"/>
    <mergeCell ref="C18:I18"/>
    <mergeCell ref="J18:AA18"/>
    <mergeCell ref="AB18:AQ18"/>
    <mergeCell ref="AR18:AS18"/>
    <mergeCell ref="B14:B17"/>
    <mergeCell ref="C14:I17"/>
    <mergeCell ref="J14:AA14"/>
    <mergeCell ref="AB14:AS14"/>
    <mergeCell ref="J15:AA15"/>
    <mergeCell ref="AB15:AQ15"/>
    <mergeCell ref="AR15:AS15"/>
    <mergeCell ref="J16:AA16"/>
    <mergeCell ref="AB16:AQ16"/>
    <mergeCell ref="AR16:AS16"/>
    <mergeCell ref="B23:H23"/>
    <mergeCell ref="M23:T23"/>
    <mergeCell ref="U23:V23"/>
    <mergeCell ref="Y23:AF23"/>
    <mergeCell ref="AG23:AH23"/>
    <mergeCell ref="AK23:AR23"/>
    <mergeCell ref="B19:AA19"/>
    <mergeCell ref="AB19:AQ19"/>
    <mergeCell ref="AR19:AS19"/>
    <mergeCell ref="M22:T22"/>
    <mergeCell ref="Y22:AF22"/>
    <mergeCell ref="AK22:AR22"/>
    <mergeCell ref="AS24:AT25"/>
    <mergeCell ref="M26:T26"/>
    <mergeCell ref="Y26:AF26"/>
    <mergeCell ref="M27:T27"/>
    <mergeCell ref="U27:V27"/>
    <mergeCell ref="Y27:AF27"/>
    <mergeCell ref="AG27:AH27"/>
    <mergeCell ref="B24:H25"/>
    <mergeCell ref="I24:J25"/>
    <mergeCell ref="K24:L25"/>
    <mergeCell ref="W24:X25"/>
    <mergeCell ref="AI24:AJ25"/>
    <mergeCell ref="AK24:AR25"/>
    <mergeCell ref="AK30:AR30"/>
    <mergeCell ref="AS30:AT30"/>
    <mergeCell ref="AZ34:BA34"/>
    <mergeCell ref="M35:T35"/>
    <mergeCell ref="Y35:AF35"/>
    <mergeCell ref="AK35:AR35"/>
    <mergeCell ref="BA35:BE35"/>
    <mergeCell ref="AW28:AX28"/>
    <mergeCell ref="M29:T29"/>
    <mergeCell ref="X29:AH29"/>
    <mergeCell ref="AK29:AR29"/>
    <mergeCell ref="M30:T30"/>
    <mergeCell ref="U30:V30"/>
    <mergeCell ref="W30:X30"/>
    <mergeCell ref="Y30:AF30"/>
    <mergeCell ref="AG30:AH30"/>
    <mergeCell ref="AI30:AJ30"/>
    <mergeCell ref="AK36:AR36"/>
    <mergeCell ref="AS36:AT36"/>
    <mergeCell ref="AK37:AR37"/>
    <mergeCell ref="B40:H40"/>
    <mergeCell ref="Y40:AF40"/>
    <mergeCell ref="AG40:AH40"/>
    <mergeCell ref="AK40:AR40"/>
    <mergeCell ref="M36:T36"/>
    <mergeCell ref="U36:V36"/>
    <mergeCell ref="W36:X36"/>
    <mergeCell ref="Y36:AF36"/>
    <mergeCell ref="AG36:AH36"/>
    <mergeCell ref="AI36:AJ36"/>
    <mergeCell ref="L39:U40"/>
    <mergeCell ref="AI41:AJ42"/>
    <mergeCell ref="AL41:AO42"/>
    <mergeCell ref="AS41:AT42"/>
    <mergeCell ref="M44:T44"/>
    <mergeCell ref="Y44:AF44"/>
    <mergeCell ref="AG44:AH44"/>
    <mergeCell ref="B41:H42"/>
    <mergeCell ref="I41:J42"/>
    <mergeCell ref="K41:L42"/>
    <mergeCell ref="M41:T42"/>
    <mergeCell ref="U41:V42"/>
    <mergeCell ref="W41:X42"/>
    <mergeCell ref="M46:T46"/>
    <mergeCell ref="AK46:AR46"/>
    <mergeCell ref="K47:L47"/>
    <mergeCell ref="M47:T47"/>
    <mergeCell ref="U47:V47"/>
    <mergeCell ref="W47:X47"/>
    <mergeCell ref="Y47:AF47"/>
    <mergeCell ref="AG47:AH47"/>
    <mergeCell ref="AI47:AJ47"/>
    <mergeCell ref="X45:AG46"/>
    <mergeCell ref="B60:AT60"/>
    <mergeCell ref="B62:AT62"/>
    <mergeCell ref="B63:AT63"/>
    <mergeCell ref="AK47:AR47"/>
    <mergeCell ref="AK48:AR48"/>
    <mergeCell ref="AK50:AR50"/>
    <mergeCell ref="B56:AT56"/>
    <mergeCell ref="B57:AT57"/>
    <mergeCell ref="B58:AT58"/>
    <mergeCell ref="B59:AT59"/>
    <mergeCell ref="B75:AT75"/>
    <mergeCell ref="C80:O81"/>
    <mergeCell ref="P80:T81"/>
    <mergeCell ref="U80:AH80"/>
    <mergeCell ref="AI80:AR81"/>
    <mergeCell ref="U81:AA81"/>
    <mergeCell ref="AB81:AH81"/>
    <mergeCell ref="B65:AT65"/>
    <mergeCell ref="B66:AT66"/>
    <mergeCell ref="B67:AT67"/>
    <mergeCell ref="B68:AT68"/>
    <mergeCell ref="A77:AT78"/>
    <mergeCell ref="C82:O83"/>
    <mergeCell ref="P82:T82"/>
    <mergeCell ref="U82:AA82"/>
    <mergeCell ref="AB82:AH85"/>
    <mergeCell ref="AI82:AR87"/>
    <mergeCell ref="P83:T83"/>
    <mergeCell ref="U83:AA83"/>
    <mergeCell ref="C84:O85"/>
    <mergeCell ref="P84:T84"/>
    <mergeCell ref="A89:AT89"/>
    <mergeCell ref="U84:AA85"/>
    <mergeCell ref="P85:T85"/>
    <mergeCell ref="C86:O87"/>
    <mergeCell ref="P86:T86"/>
    <mergeCell ref="U86:AA86"/>
    <mergeCell ref="AB86:AH87"/>
    <mergeCell ref="P87:T87"/>
    <mergeCell ref="U87:AA87"/>
  </mergeCells>
  <phoneticPr fontId="2"/>
  <dataValidations count="4">
    <dataValidation type="list" allowBlank="1" showInputMessage="1" showErrorMessage="1" sqref="Y36:AF36" xr:uid="{B0E47FC8-4110-4740-9733-3F88F2F7E008}">
      <formula1>$AW$29:$AW$35</formula1>
    </dataValidation>
    <dataValidation type="list" allowBlank="1" showInputMessage="1" showErrorMessage="1" sqref="W8:Z9 AP8:AS9" xr:uid="{B1E3FCAF-098F-44B9-8292-0E478CC0A34F}">
      <formula1>$BG$6:$BG$36</formula1>
    </dataValidation>
    <dataValidation type="list" allowBlank="1" showInputMessage="1" showErrorMessage="1" sqref="R8:U9 AK8:AN9" xr:uid="{8DCCA86C-2C35-4FF2-9EE6-D69AEB8AD3FF}">
      <formula1>$BF$5:$BF$17</formula1>
    </dataValidation>
    <dataValidation type="list" allowBlank="1" showInputMessage="1" showErrorMessage="1" sqref="M8:P9 AF8:AI9" xr:uid="{45374EED-9C24-4335-97D0-1DE56F0E64B5}">
      <formula1>$BE$5:$BE$15</formula1>
    </dataValidation>
  </dataValidations>
  <printOptions horizontalCentered="1"/>
  <pageMargins left="0.39370078740157483" right="0.39370078740157483" top="0.39370078740157483" bottom="0.19685039370078741" header="0.51181102362204722" footer="0.51181102362204722"/>
  <pageSetup paperSize="9" scale="58" orientation="portrait" r:id="rId1"/>
  <headerFooter alignWithMargins="0"/>
  <rowBreaks count="1" manualBreakCount="1">
    <brk id="52" max="16383" man="1"/>
  </rowBreaks>
  <colBreaks count="1" manualBreakCount="1">
    <brk id="46"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30721" r:id="rId4" name="Check Box 1">
              <controlPr defaultSize="0" autoFill="0" autoLine="0" autoPict="0">
                <anchor moveWithCells="1">
                  <from>
                    <xdr:col>9</xdr:col>
                    <xdr:colOff>133350</xdr:colOff>
                    <xdr:row>4</xdr:row>
                    <xdr:rowOff>76200</xdr:rowOff>
                  </from>
                  <to>
                    <xdr:col>10</xdr:col>
                    <xdr:colOff>190500</xdr:colOff>
                    <xdr:row>4</xdr:row>
                    <xdr:rowOff>361950</xdr:rowOff>
                  </to>
                </anchor>
              </controlPr>
            </control>
          </mc:Choice>
        </mc:AlternateContent>
        <mc:AlternateContent xmlns:mc="http://schemas.openxmlformats.org/markup-compatibility/2006">
          <mc:Choice Requires="x14">
            <control shapeId="30722" r:id="rId5" name="Check Box 2">
              <controlPr defaultSize="0" autoFill="0" autoLine="0" autoPict="0">
                <anchor moveWithCells="1">
                  <from>
                    <xdr:col>21</xdr:col>
                    <xdr:colOff>104775</xdr:colOff>
                    <xdr:row>4</xdr:row>
                    <xdr:rowOff>76200</xdr:rowOff>
                  </from>
                  <to>
                    <xdr:col>22</xdr:col>
                    <xdr:colOff>152400</xdr:colOff>
                    <xdr:row>4</xdr:row>
                    <xdr:rowOff>361950</xdr:rowOff>
                  </to>
                </anchor>
              </controlPr>
            </control>
          </mc:Choice>
        </mc:AlternateContent>
        <mc:AlternateContent xmlns:mc="http://schemas.openxmlformats.org/markup-compatibility/2006">
          <mc:Choice Requires="x14">
            <control shapeId="30723" r:id="rId6" name="Check Box 3">
              <controlPr defaultSize="0" autoFill="0" autoLine="0" autoPict="0">
                <anchor moveWithCells="1">
                  <from>
                    <xdr:col>33</xdr:col>
                    <xdr:colOff>104775</xdr:colOff>
                    <xdr:row>4</xdr:row>
                    <xdr:rowOff>85725</xdr:rowOff>
                  </from>
                  <to>
                    <xdr:col>34</xdr:col>
                    <xdr:colOff>152400</xdr:colOff>
                    <xdr:row>4</xdr:row>
                    <xdr:rowOff>381000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lcf76f155ced4ddcb4097134ff3c332f xmlns="2bc05441-ecb8-41d0-9872-2862fef3ebb0">
      <Terms xmlns="http://schemas.microsoft.com/office/infopath/2007/PartnerControls"/>
    </lcf76f155ced4ddcb4097134ff3c332f>
    <Owner xmlns="2bc05441-ecb8-41d0-9872-2862fef3ebb0">
      <UserInfo>
        <DisplayName/>
        <AccountId xsi:nil="true"/>
        <AccountType/>
      </UserInfo>
    </Owner>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DCB08F-36BD-4CC4-A1F7-88A1F6838D51}">
  <ds:schemaRefs>
    <ds:schemaRef ds:uri="http://schemas.microsoft.com/office/2006/metadata/properties"/>
    <ds:schemaRef ds:uri="http://schemas.microsoft.com/office/infopath/2007/PartnerControls"/>
    <ds:schemaRef ds:uri="263dbbe5-076b-4606-a03b-9598f5f2f35a"/>
    <ds:schemaRef ds:uri="2bc05441-ecb8-41d0-9872-2862fef3ebb0"/>
  </ds:schemaRefs>
</ds:datastoreItem>
</file>

<file path=customXml/itemProps2.xml><?xml version="1.0" encoding="utf-8"?>
<ds:datastoreItem xmlns:ds="http://schemas.openxmlformats.org/officeDocument/2006/customXml" ds:itemID="{C03DD512-2314-4445-970F-589DB6770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1F2529B-DA47-47B2-9E29-6A6C8AE845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様式第6-3号 </vt:lpstr>
      <vt:lpstr>'様式第6-3号 '!Print_Area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千葉 慎吾</cp:lastModifiedBy>
  <dcterms:modified xsi:type="dcterms:W3CDTF">2026-05-14T00:35:27Z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