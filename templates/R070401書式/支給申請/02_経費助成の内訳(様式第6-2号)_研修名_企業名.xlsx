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G:\.shortcut-targets-by-id\1BpI-orXolZb0ng1yaMRipc3BjlHfTOGt\アシスタントチーム\業務マニュアル\03_支給申請\00_顧客確認\20260331までの様式\R7.4-R8.3\"/>
    </mc:Choice>
  </mc:AlternateContent>
  <xr:revisionPtr revIDLastSave="0" documentId="13_ncr:1_{64E5ED14-D501-4920-B82A-32AAD1C5F2B7}" xr6:coauthVersionLast="47" xr6:coauthVersionMax="47" xr10:uidLastSave="{00000000-0000-0000-0000-000000000000}"/>
  <bookViews>
    <workbookView xWindow="-110" yWindow="-110" windowWidth="19420" windowHeight="11500" xr2:uid="{00000000-000D-0000-FFFF-FFFF00000000}"/>
  </bookViews>
  <sheets>
    <sheet name="様式第6-2号" sheetId="8" r:id="rId1"/>
  </sheets>
  <definedNames>
    <definedName name="OLE_LINK2" localSheetId="0">'様式第6-2号'!#REF!</definedName>
    <definedName name="_xlnm.Print_Area" localSheetId="0">'様式第6-2号'!$A$1:$AT$123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1" i="8" l="1"/>
  <c r="V16" i="8"/>
  <c r="AC37" i="8"/>
  <c r="AK42" i="8" l="1"/>
  <c r="U26" i="8"/>
  <c r="E31" i="8" l="1"/>
  <c r="AC31" i="8" s="1"/>
  <c r="AL46" i="8" s="1"/>
</calcChain>
</file>

<file path=xl/sharedStrings.xml><?xml version="1.0" encoding="utf-8"?>
<sst xmlns="http://schemas.openxmlformats.org/spreadsheetml/2006/main" count="235" uniqueCount="137">
  <si>
    <t>(</t>
    <phoneticPr fontId="3"/>
  </si>
  <si>
    <t>枚中</t>
    <rPh sb="0" eb="1">
      <t>マイ</t>
    </rPh>
    <rPh sb="1" eb="2">
      <t>チュウ</t>
    </rPh>
    <phoneticPr fontId="3"/>
  </si>
  <si>
    <t>円</t>
    <rPh sb="0" eb="1">
      <t>エン</t>
    </rPh>
    <phoneticPr fontId="3"/>
  </si>
  <si>
    <t>×</t>
    <phoneticPr fontId="3"/>
  </si>
  <si>
    <t>人</t>
    <rPh sb="0" eb="1">
      <t>ニン</t>
    </rPh>
    <phoneticPr fontId="3"/>
  </si>
  <si>
    <t>＝</t>
    <phoneticPr fontId="3"/>
  </si>
  <si>
    <t>【提出上の注意】</t>
    <rPh sb="1" eb="3">
      <t>テイシュツ</t>
    </rPh>
    <rPh sb="3" eb="4">
      <t>ジョウ</t>
    </rPh>
    <rPh sb="5" eb="7">
      <t>チュウイ</t>
    </rPh>
    <phoneticPr fontId="3"/>
  </si>
  <si>
    <t>※１</t>
    <phoneticPr fontId="3"/>
  </si>
  <si>
    <t>※２</t>
  </si>
  <si>
    <t>※３</t>
  </si>
  <si>
    <t>【その他】</t>
    <rPh sb="3" eb="4">
      <t>タ</t>
    </rPh>
    <phoneticPr fontId="3"/>
  </si>
  <si>
    <t>官庁（国の役所）主催の研修等の受講料、教科書代等は助成対象となりません。</t>
    <rPh sb="0" eb="2">
      <t>カンチョウ</t>
    </rPh>
    <rPh sb="3" eb="4">
      <t>クニ</t>
    </rPh>
    <rPh sb="5" eb="7">
      <t>ヤクショ</t>
    </rPh>
    <rPh sb="8" eb="10">
      <t>シュサイ</t>
    </rPh>
    <rPh sb="11" eb="14">
      <t>ケンシュウトウ</t>
    </rPh>
    <rPh sb="15" eb="18">
      <t>ジュコウリョウ</t>
    </rPh>
    <rPh sb="19" eb="22">
      <t>キョウカショ</t>
    </rPh>
    <rPh sb="22" eb="24">
      <t>ダイトウ</t>
    </rPh>
    <rPh sb="25" eb="27">
      <t>ジョセイ</t>
    </rPh>
    <rPh sb="27" eb="29">
      <t>タイショウ</t>
    </rPh>
    <phoneticPr fontId="3"/>
  </si>
  <si>
    <t>認定職業訓練のうち、都道府県から「認定職業訓練事業費補助金」を受けている認定職業訓練の受講料、教科書代等については、助成対象となりません。なお、広域団体認定訓練助成金を受けている認定職業訓練の受講料、教科書代等は、助成対象となります。</t>
    <rPh sb="0" eb="2">
      <t>ニンテイ</t>
    </rPh>
    <rPh sb="2" eb="4">
      <t>ショクギョウ</t>
    </rPh>
    <rPh sb="4" eb="6">
      <t>クンレン</t>
    </rPh>
    <rPh sb="10" eb="14">
      <t>トドウフケン</t>
    </rPh>
    <rPh sb="17" eb="19">
      <t>ニンテイ</t>
    </rPh>
    <rPh sb="19" eb="21">
      <t>ショクギョウ</t>
    </rPh>
    <rPh sb="21" eb="23">
      <t>クンレン</t>
    </rPh>
    <rPh sb="23" eb="26">
      <t>ジギョウヒ</t>
    </rPh>
    <rPh sb="26" eb="29">
      <t>ホジョキン</t>
    </rPh>
    <rPh sb="31" eb="32">
      <t>ウ</t>
    </rPh>
    <rPh sb="36" eb="38">
      <t>ニンテイ</t>
    </rPh>
    <rPh sb="38" eb="40">
      <t>ショクギョウ</t>
    </rPh>
    <rPh sb="40" eb="42">
      <t>クンレン</t>
    </rPh>
    <rPh sb="43" eb="46">
      <t>ジュコウリョウ</t>
    </rPh>
    <rPh sb="47" eb="50">
      <t>キョウカショ</t>
    </rPh>
    <rPh sb="50" eb="51">
      <t>ダイ</t>
    </rPh>
    <rPh sb="51" eb="52">
      <t>トウ</t>
    </rPh>
    <rPh sb="72" eb="74">
      <t>コウイキ</t>
    </rPh>
    <rPh sb="74" eb="76">
      <t>ダンタイ</t>
    </rPh>
    <rPh sb="76" eb="78">
      <t>ニンテイ</t>
    </rPh>
    <rPh sb="78" eb="80">
      <t>クンレン</t>
    </rPh>
    <rPh sb="80" eb="83">
      <t>ジョセイキン</t>
    </rPh>
    <rPh sb="84" eb="85">
      <t>ウ</t>
    </rPh>
    <rPh sb="89" eb="91">
      <t>ニンテイ</t>
    </rPh>
    <rPh sb="91" eb="93">
      <t>ショクギョウ</t>
    </rPh>
    <rPh sb="93" eb="95">
      <t>クンレン</t>
    </rPh>
    <rPh sb="96" eb="99">
      <t>ジュコウリョウ</t>
    </rPh>
    <rPh sb="100" eb="103">
      <t>キョウカショ</t>
    </rPh>
    <rPh sb="103" eb="105">
      <t>ダイトウ</t>
    </rPh>
    <rPh sb="107" eb="109">
      <t>ジョセイ</t>
    </rPh>
    <rPh sb="109" eb="111">
      <t>タイショウ</t>
    </rPh>
    <phoneticPr fontId="3"/>
  </si>
  <si>
    <t>都道府県の職業能力開発施設が実施している訓練等（高度職業訓練及び生産性向上人材育成支援センターが実施するものを除く）の受講料、教科書代等は助成対象となりません。</t>
    <rPh sb="0" eb="4">
      <t>トドウフケン</t>
    </rPh>
    <rPh sb="5" eb="7">
      <t>ショクギョウ</t>
    </rPh>
    <rPh sb="7" eb="9">
      <t>ノウリョク</t>
    </rPh>
    <rPh sb="9" eb="11">
      <t>カイハツ</t>
    </rPh>
    <rPh sb="11" eb="13">
      <t>シセツ</t>
    </rPh>
    <rPh sb="14" eb="16">
      <t>ジッシ</t>
    </rPh>
    <rPh sb="20" eb="22">
      <t>クンレン</t>
    </rPh>
    <rPh sb="22" eb="23">
      <t>トウ</t>
    </rPh>
    <rPh sb="24" eb="26">
      <t>コウド</t>
    </rPh>
    <rPh sb="26" eb="28">
      <t>ショクギョウ</t>
    </rPh>
    <rPh sb="28" eb="30">
      <t>クンレン</t>
    </rPh>
    <rPh sb="30" eb="31">
      <t>オヨ</t>
    </rPh>
    <rPh sb="32" eb="35">
      <t>セイサンセイ</t>
    </rPh>
    <rPh sb="35" eb="37">
      <t>コウジョウ</t>
    </rPh>
    <rPh sb="37" eb="39">
      <t>ジンザイ</t>
    </rPh>
    <rPh sb="39" eb="41">
      <t>イクセイ</t>
    </rPh>
    <rPh sb="41" eb="43">
      <t>シエン</t>
    </rPh>
    <rPh sb="48" eb="50">
      <t>ジッシ</t>
    </rPh>
    <rPh sb="55" eb="56">
      <t>ノゾ</t>
    </rPh>
    <rPh sb="59" eb="62">
      <t>ジュコウリョウ</t>
    </rPh>
    <rPh sb="63" eb="66">
      <t>キョウカショ</t>
    </rPh>
    <rPh sb="66" eb="68">
      <t>ダイトウ</t>
    </rPh>
    <rPh sb="69" eb="71">
      <t>ジョセイ</t>
    </rPh>
    <rPh sb="71" eb="73">
      <t>タイショウ</t>
    </rPh>
    <phoneticPr fontId="3"/>
  </si>
  <si>
    <t>※４</t>
    <phoneticPr fontId="3"/>
  </si>
  <si>
    <t>「⑤訓練コースの開発費」とは、学校教育法第83条の大学、第115条の高等専門学校、第124条の専修学校又は第134条の各種学校に職業訓練の訓練コース等を委託して開発した場合に要した費用及び当該訓練コース等の受講に要した費用をいいます。</t>
    <rPh sb="2" eb="4">
      <t>クンレン</t>
    </rPh>
    <rPh sb="8" eb="10">
      <t>カイハツ</t>
    </rPh>
    <rPh sb="10" eb="11">
      <t>ヒ</t>
    </rPh>
    <phoneticPr fontId="3"/>
  </si>
  <si>
    <t>枚目</t>
    <rPh sb="0" eb="2">
      <t>マイメ</t>
    </rPh>
    <phoneticPr fontId="3"/>
  </si>
  <si>
    <t>)</t>
    <phoneticPr fontId="3"/>
  </si>
  <si>
    <t>通常分</t>
    <rPh sb="0" eb="2">
      <t>ツウジョウ</t>
    </rPh>
    <rPh sb="2" eb="3">
      <t>ブン</t>
    </rPh>
    <phoneticPr fontId="3"/>
  </si>
  <si>
    <t>－</t>
    <phoneticPr fontId="3"/>
  </si>
  <si>
    <t>賃金要件等割増分</t>
    <rPh sb="0" eb="2">
      <t>チンギン</t>
    </rPh>
    <rPh sb="2" eb="4">
      <t>ヨウケン</t>
    </rPh>
    <rPh sb="4" eb="5">
      <t>トウ</t>
    </rPh>
    <rPh sb="5" eb="7">
      <t>ワリマシ</t>
    </rPh>
    <rPh sb="7" eb="8">
      <t>ブン</t>
    </rPh>
    <phoneticPr fontId="3"/>
  </si>
  <si>
    <t>÷</t>
    <phoneticPr fontId="3"/>
  </si>
  <si>
    <t>（１）事業内訓練</t>
    <rPh sb="3" eb="5">
      <t>ジギョウ</t>
    </rPh>
    <rPh sb="5" eb="6">
      <t>ナイ</t>
    </rPh>
    <rPh sb="6" eb="8">
      <t>クンレン</t>
    </rPh>
    <phoneticPr fontId="3"/>
  </si>
  <si>
    <t>（２）事業外訓練</t>
    <rPh sb="3" eb="5">
      <t>ジギョウ</t>
    </rPh>
    <rPh sb="5" eb="6">
      <t>ソト</t>
    </rPh>
    <rPh sb="6" eb="8">
      <t>クンレン</t>
    </rPh>
    <phoneticPr fontId="3"/>
  </si>
  <si>
    <t>1</t>
    <phoneticPr fontId="3"/>
  </si>
  <si>
    <t>2</t>
    <phoneticPr fontId="3"/>
  </si>
  <si>
    <t>3</t>
    <phoneticPr fontId="3"/>
  </si>
  <si>
    <t>4</t>
    <phoneticPr fontId="3"/>
  </si>
  <si>
    <t>5</t>
    <phoneticPr fontId="3"/>
  </si>
  <si>
    <t>6</t>
    <phoneticPr fontId="3"/>
  </si>
  <si>
    <t>7</t>
    <phoneticPr fontId="3"/>
  </si>
  <si>
    <t>8</t>
    <phoneticPr fontId="3"/>
  </si>
  <si>
    <t>※　ホームページから様式をダウンロードする際は、第２面以降も両面印刷して使用してください。</t>
    <rPh sb="24" eb="25">
      <t>ダイ</t>
    </rPh>
    <rPh sb="27" eb="29">
      <t>イコウ</t>
    </rPh>
    <phoneticPr fontId="3"/>
  </si>
  <si>
    <t>【記載上の注意】</t>
    <rPh sb="3" eb="4">
      <t>ジョウ</t>
    </rPh>
    <rPh sb="5" eb="7">
      <t>チュウイ</t>
    </rPh>
    <phoneticPr fontId="3"/>
  </si>
  <si>
    <t>①部外講師の謝金・手当</t>
    <rPh sb="1" eb="2">
      <t>ブ</t>
    </rPh>
    <rPh sb="2" eb="3">
      <t>ガイ</t>
    </rPh>
    <rPh sb="3" eb="5">
      <t>コウシ</t>
    </rPh>
    <rPh sb="6" eb="8">
      <t>シャキン</t>
    </rPh>
    <rPh sb="9" eb="11">
      <t>テアテ</t>
    </rPh>
    <phoneticPr fontId="3"/>
  </si>
  <si>
    <t>＋</t>
    <phoneticPr fontId="3"/>
  </si>
  <si>
    <t>③施設・設備の借上げ費</t>
    <phoneticPr fontId="3"/>
  </si>
  <si>
    <t>②部外講師の旅費</t>
    <rPh sb="1" eb="2">
      <t>ブ</t>
    </rPh>
    <rPh sb="2" eb="3">
      <t>ガイ</t>
    </rPh>
    <rPh sb="3" eb="5">
      <t>コウシ</t>
    </rPh>
    <rPh sb="6" eb="8">
      <t>リョヒ</t>
    </rPh>
    <phoneticPr fontId="3"/>
  </si>
  <si>
    <t>④教材費・教科書代</t>
    <phoneticPr fontId="3"/>
  </si>
  <si>
    <t>⑤訓練コースの開発費</t>
    <phoneticPr fontId="3"/>
  </si>
  <si>
    <t>①１人当たりの入学料・受講料・教科書代</t>
    <rPh sb="2" eb="3">
      <t>ニン</t>
    </rPh>
    <rPh sb="3" eb="4">
      <t>ア</t>
    </rPh>
    <rPh sb="7" eb="9">
      <t>ニュウガク</t>
    </rPh>
    <rPh sb="9" eb="10">
      <t>リョウ</t>
    </rPh>
    <rPh sb="11" eb="14">
      <t>ジュコウリョウ</t>
    </rPh>
    <rPh sb="15" eb="18">
      <t>キョウカショ</t>
    </rPh>
    <rPh sb="18" eb="19">
      <t>ダイ</t>
    </rPh>
    <phoneticPr fontId="3"/>
  </si>
  <si>
    <t>Ⅰ　事業内訓練の経費</t>
    <rPh sb="2" eb="4">
      <t>ジギョウ</t>
    </rPh>
    <rPh sb="4" eb="5">
      <t>ナイ</t>
    </rPh>
    <rPh sb="5" eb="7">
      <t>クンレン</t>
    </rPh>
    <rPh sb="8" eb="10">
      <t>ケイヒ</t>
    </rPh>
    <phoneticPr fontId="3"/>
  </si>
  <si>
    <t>②支給対象労働者数</t>
    <rPh sb="1" eb="3">
      <t>シキュウ</t>
    </rPh>
    <rPh sb="3" eb="5">
      <t>タイショウ</t>
    </rPh>
    <rPh sb="5" eb="8">
      <t>ロウドウシャ</t>
    </rPh>
    <rPh sb="8" eb="9">
      <t>スウ</t>
    </rPh>
    <phoneticPr fontId="3"/>
  </si>
  <si>
    <t>Ⅱ　事業外訓練の経費</t>
    <rPh sb="2" eb="4">
      <t>ジギョウ</t>
    </rPh>
    <rPh sb="4" eb="5">
      <t>ガイ</t>
    </rPh>
    <rPh sb="5" eb="7">
      <t>クンレン</t>
    </rPh>
    <rPh sb="8" eb="10">
      <t>ケイヒ</t>
    </rPh>
    <phoneticPr fontId="3"/>
  </si>
  <si>
    <t>（</t>
    <phoneticPr fontId="3"/>
  </si>
  <si>
    <t>）</t>
    <phoneticPr fontId="3"/>
  </si>
  <si>
    <t>※県外からの旅費に限る</t>
  </si>
  <si>
    <t>③助成率</t>
    <rPh sb="1" eb="4">
      <t>ジョセイリツ</t>
    </rPh>
    <phoneticPr fontId="3"/>
  </si>
  <si>
    <t>％</t>
    <phoneticPr fontId="3"/>
  </si>
  <si>
    <t>※１時間あたり３万円を限度</t>
    <phoneticPr fontId="3"/>
  </si>
  <si>
    <t>（３）職業能力検定・キャリアコンサルティング・資格試験を受けさせた場合</t>
    <rPh sb="3" eb="5">
      <t>ショクギョウ</t>
    </rPh>
    <rPh sb="5" eb="7">
      <t>ノウリョク</t>
    </rPh>
    <rPh sb="7" eb="9">
      <t>ケンテイ</t>
    </rPh>
    <rPh sb="23" eb="25">
      <t>シカク</t>
    </rPh>
    <rPh sb="25" eb="27">
      <t>シケン</t>
    </rPh>
    <rPh sb="28" eb="29">
      <t>ウ</t>
    </rPh>
    <rPh sb="33" eb="35">
      <t>バアイ</t>
    </rPh>
    <phoneticPr fontId="3"/>
  </si>
  <si>
    <t>Ⅲ　職業能力検定・キャリアコンサルティング・資格試験の経費</t>
    <rPh sb="2" eb="6">
      <t>ショクギョウノウリョク</t>
    </rPh>
    <rPh sb="6" eb="8">
      <t>ケンテイ</t>
    </rPh>
    <rPh sb="22" eb="24">
      <t>シカク</t>
    </rPh>
    <rPh sb="24" eb="26">
      <t>シケン</t>
    </rPh>
    <rPh sb="27" eb="29">
      <t>ケイヒ</t>
    </rPh>
    <phoneticPr fontId="3"/>
  </si>
  <si>
    <t>対象経費の算定</t>
    <rPh sb="0" eb="2">
      <t>タイショウ</t>
    </rPh>
    <rPh sb="2" eb="4">
      <t>ケイヒ</t>
    </rPh>
    <rPh sb="5" eb="7">
      <t>サンテイ</t>
    </rPh>
    <phoneticPr fontId="3"/>
  </si>
  <si>
    <t>（１）算定額</t>
    <rPh sb="3" eb="6">
      <t>サンテイガク</t>
    </rPh>
    <phoneticPr fontId="3"/>
  </si>
  <si>
    <t>（２）上限額の算定</t>
    <rPh sb="3" eb="6">
      <t>ジョウゲンガク</t>
    </rPh>
    <rPh sb="7" eb="9">
      <t>サンテイ</t>
    </rPh>
    <phoneticPr fontId="3"/>
  </si>
  <si>
    <t>②１人あたりの上限額</t>
    <rPh sb="2" eb="3">
      <t>ニン</t>
    </rPh>
    <rPh sb="7" eb="10">
      <t>ジョウゲンガク</t>
    </rPh>
    <phoneticPr fontId="3"/>
  </si>
  <si>
    <t>①支給対象労働者数</t>
    <rPh sb="1" eb="9">
      <t>シキュウタイショウロウドウシャスウ</t>
    </rPh>
    <phoneticPr fontId="3"/>
  </si>
  <si>
    <t>Ⅴ　上限額</t>
    <rPh sb="2" eb="5">
      <t>ジョウゲンガク</t>
    </rPh>
    <phoneticPr fontId="3"/>
  </si>
  <si>
    <t>Ⅳ　算定額</t>
    <rPh sb="2" eb="5">
      <t>サンテイガク</t>
    </rPh>
    <phoneticPr fontId="3"/>
  </si>
  <si>
    <t>（100円未満は切捨て）</t>
    <phoneticPr fontId="3"/>
  </si>
  <si>
    <t>（３）経費助成額（（１）算定額または（２）上限額のいずれか低い額）　</t>
  </si>
  <si>
    <t>Ⅵ　経費助成額</t>
    <rPh sb="2" eb="4">
      <t>ケイヒ</t>
    </rPh>
    <rPh sb="4" eb="6">
      <t>ジョセイ</t>
    </rPh>
    <rPh sb="6" eb="7">
      <t>ガク</t>
    </rPh>
    <phoneticPr fontId="3"/>
  </si>
  <si>
    <t>職業訓練実施計画届の受付番号</t>
    <rPh sb="0" eb="2">
      <t>ショクギョウ</t>
    </rPh>
    <rPh sb="2" eb="4">
      <t>クンレン</t>
    </rPh>
    <rPh sb="4" eb="6">
      <t>ジッシ</t>
    </rPh>
    <rPh sb="6" eb="8">
      <t>ケイカク</t>
    </rPh>
    <rPh sb="8" eb="9">
      <t>トドケ</t>
    </rPh>
    <rPh sb="10" eb="12">
      <t>ウケツケ</t>
    </rPh>
    <rPh sb="12" eb="14">
      <t>バンゴウ</t>
    </rPh>
    <rPh sb="13" eb="14">
      <t>ウケバン</t>
    </rPh>
    <phoneticPr fontId="3"/>
  </si>
  <si>
    <t>①（Ⅰ又はⅡ）＋Ⅲ</t>
    <rPh sb="3" eb="4">
      <t>マタ</t>
    </rPh>
    <phoneticPr fontId="3"/>
  </si>
  <si>
    <t>経費助成額の算定</t>
    <rPh sb="0" eb="2">
      <t>ケイヒ</t>
    </rPh>
    <rPh sb="2" eb="4">
      <t>ジョセイ</t>
    </rPh>
    <rPh sb="4" eb="5">
      <t>ガク</t>
    </rPh>
    <rPh sb="6" eb="8">
      <t>サンテイ</t>
    </rPh>
    <phoneticPr fontId="3"/>
  </si>
  <si>
    <t>④通常分の経費助成額</t>
    <rPh sb="1" eb="3">
      <t>ツウジョウ</t>
    </rPh>
    <rPh sb="3" eb="4">
      <t>ブン</t>
    </rPh>
    <rPh sb="5" eb="10">
      <t>ケイヒジョセイガク</t>
    </rPh>
    <phoneticPr fontId="3"/>
  </si>
  <si>
    <t>年</t>
    <rPh sb="0" eb="1">
      <t>ネン</t>
    </rPh>
    <phoneticPr fontId="3"/>
  </si>
  <si>
    <t>③年数</t>
    <rPh sb="1" eb="2">
      <t>ネン</t>
    </rPh>
    <rPh sb="2" eb="3">
      <t>スウ</t>
    </rPh>
    <phoneticPr fontId="3"/>
  </si>
  <si>
    <t>②１人１年あたりの上限額</t>
    <rPh sb="2" eb="3">
      <t>ニン</t>
    </rPh>
    <rPh sb="4" eb="5">
      <t>ネン</t>
    </rPh>
    <rPh sb="9" eb="12">
      <t>ジョウゲンガク</t>
    </rPh>
    <phoneticPr fontId="3"/>
  </si>
  <si>
    <t>※定額制サービスによる訓練の場合は、様式第6-3号をご使用ください。</t>
    <rPh sb="1" eb="4">
      <t>テイガクセイ</t>
    </rPh>
    <rPh sb="11" eb="13">
      <t>クンレン</t>
    </rPh>
    <rPh sb="14" eb="16">
      <t>バアイ</t>
    </rPh>
    <rPh sb="18" eb="20">
      <t>ヨウシキ</t>
    </rPh>
    <rPh sb="20" eb="21">
      <t>ダイ</t>
    </rPh>
    <rPh sb="24" eb="25">
      <t>ゴウ</t>
    </rPh>
    <rPh sb="27" eb="29">
      <t>シヨウ</t>
    </rPh>
    <phoneticPr fontId="3"/>
  </si>
  <si>
    <r>
      <rPr>
        <b/>
        <u/>
        <sz val="10"/>
        <rFont val="Meiryo UI"/>
        <family val="3"/>
        <charset val="128"/>
      </rPr>
      <t>情報技術分野認定実習併用職業訓練において、付加的にeラーニングによる訓練及び通信制による訓練を実施した場合</t>
    </r>
    <r>
      <rPr>
        <sz val="10"/>
        <rFont val="Meiryo UI"/>
        <family val="3"/>
        <charset val="128"/>
      </rPr>
      <t>は、情報技術分野認定実習併用職業訓練の部分と付加的に実施するeラーニングによる訓練及び通信制による訓練の部分で経費助成限度額が異なるため、</t>
    </r>
    <r>
      <rPr>
        <b/>
        <u/>
        <sz val="10"/>
        <rFont val="Meiryo UI"/>
        <family val="3"/>
        <charset val="128"/>
      </rPr>
      <t>本様式を分けて提出してください</t>
    </r>
    <r>
      <rPr>
        <sz val="10"/>
        <rFont val="Meiryo UI"/>
        <family val="3"/>
        <charset val="128"/>
      </rPr>
      <t>。</t>
    </r>
    <phoneticPr fontId="3"/>
  </si>
  <si>
    <r>
      <rPr>
        <b/>
        <sz val="10"/>
        <rFont val="Meiryo UI"/>
        <family val="3"/>
        <charset val="128"/>
      </rPr>
      <t>１欄には</t>
    </r>
    <r>
      <rPr>
        <sz val="10"/>
        <rFont val="Meiryo UI"/>
        <family val="3"/>
        <charset val="128"/>
      </rPr>
      <t>、職業訓練実施計画届（様式第1-1号）と対応した受付番号を記載してください。</t>
    </r>
    <rPh sb="1" eb="2">
      <t>ラン</t>
    </rPh>
    <rPh sb="5" eb="7">
      <t>ショクギョウ</t>
    </rPh>
    <rPh sb="7" eb="9">
      <t>クンレン</t>
    </rPh>
    <rPh sb="9" eb="11">
      <t>ジッシ</t>
    </rPh>
    <rPh sb="11" eb="13">
      <t>ケイカク</t>
    </rPh>
    <rPh sb="13" eb="14">
      <t>トド</t>
    </rPh>
    <rPh sb="15" eb="17">
      <t>ヨウシキ</t>
    </rPh>
    <rPh sb="17" eb="18">
      <t>ダイ</t>
    </rPh>
    <rPh sb="21" eb="22">
      <t>ゴウ</t>
    </rPh>
    <rPh sb="24" eb="26">
      <t>タイオウ</t>
    </rPh>
    <rPh sb="28" eb="30">
      <t>ウケツケ</t>
    </rPh>
    <rPh sb="30" eb="32">
      <t>バンゴウ</t>
    </rPh>
    <phoneticPr fontId="3"/>
  </si>
  <si>
    <t>海外の大学院での訓練（自発的職業能力開発訓練及び成長分野等人材訓練に限ります。）について、入学料・受講料・教科書代等を外貨で支払った場合のレート換算基準は、支給申請を行った日が含まれる月の日本銀行が公表する基準外国為替相場及び裁定外国為替相場を使用してください。</t>
    <phoneticPr fontId="3"/>
  </si>
  <si>
    <t>a　ITSS・DSS-Pレベル２から４の資格・試験（高度デジタル人材訓練は、ITSS・DSS-Pレベル３又は４のみ）</t>
    <rPh sb="20" eb="22">
      <t>シカク</t>
    </rPh>
    <rPh sb="23" eb="25">
      <t>シケン</t>
    </rPh>
    <rPh sb="26" eb="28">
      <t>コウド</t>
    </rPh>
    <rPh sb="32" eb="36">
      <t>ジンザイクンレン</t>
    </rPh>
    <rPh sb="52" eb="53">
      <t>マタ</t>
    </rPh>
    <phoneticPr fontId="3"/>
  </si>
  <si>
    <t>b　公的職業資格（資格又は試験等であって国若しくは地方公共団体又は国から委託を受けた機関が法令の規定に基づいて実施するもの）</t>
    <rPh sb="2" eb="4">
      <t>コウテキ</t>
    </rPh>
    <rPh sb="4" eb="6">
      <t>ショクギョウ</t>
    </rPh>
    <rPh sb="6" eb="8">
      <t>シカク</t>
    </rPh>
    <rPh sb="9" eb="11">
      <t>シカク</t>
    </rPh>
    <rPh sb="11" eb="12">
      <t>マタ</t>
    </rPh>
    <rPh sb="13" eb="15">
      <t>シケン</t>
    </rPh>
    <rPh sb="15" eb="16">
      <t>トウ</t>
    </rPh>
    <rPh sb="20" eb="21">
      <t>クニ</t>
    </rPh>
    <rPh sb="21" eb="22">
      <t>モ</t>
    </rPh>
    <rPh sb="25" eb="27">
      <t>チホウ</t>
    </rPh>
    <rPh sb="27" eb="29">
      <t>コウキョウ</t>
    </rPh>
    <rPh sb="29" eb="31">
      <t>ダンタイ</t>
    </rPh>
    <rPh sb="31" eb="32">
      <t>マタ</t>
    </rPh>
    <rPh sb="33" eb="34">
      <t>クニ</t>
    </rPh>
    <rPh sb="36" eb="38">
      <t>イタク</t>
    </rPh>
    <rPh sb="39" eb="40">
      <t>ウ</t>
    </rPh>
    <rPh sb="42" eb="44">
      <t>キカン</t>
    </rPh>
    <rPh sb="45" eb="47">
      <t>ホウレイ</t>
    </rPh>
    <rPh sb="48" eb="50">
      <t>キテイ</t>
    </rPh>
    <rPh sb="51" eb="52">
      <t>モト</t>
    </rPh>
    <rPh sb="55" eb="57">
      <t>ジッシ</t>
    </rPh>
    <phoneticPr fontId="3"/>
  </si>
  <si>
    <t>c　教育訓練給付指定講座分野・資格コード表（最新版）に記載される資格・試験の資格試験</t>
    <rPh sb="2" eb="4">
      <t>キョウイク</t>
    </rPh>
    <rPh sb="4" eb="6">
      <t>クンレン</t>
    </rPh>
    <rPh sb="6" eb="8">
      <t>キュウフ</t>
    </rPh>
    <rPh sb="8" eb="10">
      <t>シテイ</t>
    </rPh>
    <rPh sb="10" eb="12">
      <t>コウザ</t>
    </rPh>
    <rPh sb="12" eb="14">
      <t>ブンヤ</t>
    </rPh>
    <rPh sb="15" eb="17">
      <t>シカク</t>
    </rPh>
    <rPh sb="20" eb="21">
      <t>ヒョウ</t>
    </rPh>
    <rPh sb="22" eb="25">
      <t>サイシンバン</t>
    </rPh>
    <rPh sb="24" eb="25">
      <t>バン</t>
    </rPh>
    <rPh sb="27" eb="29">
      <t>キサイ</t>
    </rPh>
    <rPh sb="32" eb="34">
      <t>シカク</t>
    </rPh>
    <rPh sb="35" eb="37">
      <t>シケン</t>
    </rPh>
    <rPh sb="38" eb="40">
      <t>シカク</t>
    </rPh>
    <rPh sb="40" eb="42">
      <t>シケン</t>
    </rPh>
    <phoneticPr fontId="3"/>
  </si>
  <si>
    <t>13</t>
    <phoneticPr fontId="3"/>
  </si>
  <si>
    <r>
      <rPr>
        <b/>
        <sz val="10"/>
        <rFont val="Meiryo UI"/>
        <family val="3"/>
        <charset val="128"/>
      </rPr>
      <t>６（７）欄では</t>
    </r>
    <r>
      <rPr>
        <sz val="10"/>
        <rFont val="Meiryo UI"/>
        <family val="3"/>
        <charset val="128"/>
      </rPr>
      <t>、経費助成額を算出します。６（６）欄で算出した金額に対象労働者数を乗じて算出します。算出した金額から100円未満を切り捨てた金額が、経費助成額となります。</t>
    </r>
    <rPh sb="8" eb="10">
      <t>ケイヒ</t>
    </rPh>
    <rPh sb="14" eb="16">
      <t>サンシュツ</t>
    </rPh>
    <rPh sb="30" eb="31">
      <t>キン</t>
    </rPh>
    <rPh sb="49" eb="51">
      <t>サンシュツ</t>
    </rPh>
    <rPh sb="53" eb="55">
      <t>キンガク</t>
    </rPh>
    <rPh sb="69" eb="71">
      <t>キンガク</t>
    </rPh>
    <phoneticPr fontId="3"/>
  </si>
  <si>
    <t>企業規模</t>
    <rPh sb="0" eb="2">
      <t>キギョウ</t>
    </rPh>
    <rPh sb="2" eb="4">
      <t>キボ</t>
    </rPh>
    <phoneticPr fontId="3"/>
  </si>
  <si>
    <t>経費助成率
（１人１コースあたり）</t>
    <rPh sb="0" eb="2">
      <t>ケイヒ</t>
    </rPh>
    <rPh sb="2" eb="5">
      <t>ジョセイリツ</t>
    </rPh>
    <rPh sb="8" eb="9">
      <t>ニン</t>
    </rPh>
    <phoneticPr fontId="3"/>
  </si>
  <si>
    <t>自発的職業能力開発訓練</t>
    <rPh sb="0" eb="3">
      <t>ジハツテキ</t>
    </rPh>
    <rPh sb="3" eb="5">
      <t>ショクギョウ</t>
    </rPh>
    <rPh sb="5" eb="7">
      <t>ノウリョク</t>
    </rPh>
    <rPh sb="7" eb="9">
      <t>カイハツ</t>
    </rPh>
    <rPh sb="9" eb="11">
      <t>クンレン</t>
    </rPh>
    <phoneticPr fontId="3"/>
  </si>
  <si>
    <t>高度デジタル人材訓練</t>
    <rPh sb="0" eb="2">
      <t>コウド</t>
    </rPh>
    <rPh sb="6" eb="8">
      <t>ジンザイ</t>
    </rPh>
    <rPh sb="8" eb="10">
      <t>クンレン</t>
    </rPh>
    <phoneticPr fontId="26"/>
  </si>
  <si>
    <t>成長分野等人材訓練</t>
    <rPh sb="0" eb="2">
      <t>セイチョウ</t>
    </rPh>
    <rPh sb="2" eb="4">
      <t>ブンヤ</t>
    </rPh>
    <rPh sb="4" eb="5">
      <t>トウ</t>
    </rPh>
    <rPh sb="5" eb="7">
      <t>ジンザイ</t>
    </rPh>
    <rPh sb="7" eb="9">
      <t>クンレン</t>
    </rPh>
    <phoneticPr fontId="26"/>
  </si>
  <si>
    <t>情報技術分野認定実習併用職業訓練</t>
    <rPh sb="0" eb="16">
      <t>ジョウホウギジュツブンヤニンテイジッシュウヘイヨウショクギョウクンレン</t>
    </rPh>
    <phoneticPr fontId="3"/>
  </si>
  <si>
    <t>⑥支給対象労働者数</t>
    <rPh sb="1" eb="9">
      <t>シキュウタイショウロウドウシャスウ</t>
    </rPh>
    <phoneticPr fontId="3"/>
  </si>
  <si>
    <t>⑦総受講者数</t>
    <rPh sb="1" eb="2">
      <t>ソウ</t>
    </rPh>
    <rPh sb="2" eb="5">
      <t>ジュコウシャ</t>
    </rPh>
    <rPh sb="5" eb="6">
      <t>スウ</t>
    </rPh>
    <phoneticPr fontId="3"/>
  </si>
  <si>
    <t>②申請事業主が負担した割合
※全て負担した場合は100と記入してください。</t>
    <rPh sb="1" eb="3">
      <t>シンセイ</t>
    </rPh>
    <rPh sb="3" eb="6">
      <t>ジギョウヌシ</t>
    </rPh>
    <rPh sb="7" eb="9">
      <t>フタン</t>
    </rPh>
    <rPh sb="11" eb="13">
      <t>ワリアイ</t>
    </rPh>
    <rPh sb="15" eb="16">
      <t>スベ</t>
    </rPh>
    <rPh sb="17" eb="19">
      <t>フタン</t>
    </rPh>
    <rPh sb="21" eb="23">
      <t>バアイ</t>
    </rPh>
    <rPh sb="28" eb="30">
      <t>キニュウ</t>
    </rPh>
    <phoneticPr fontId="3"/>
  </si>
  <si>
    <t>（ア）　（イ）以外の訓練の場合</t>
    <rPh sb="7" eb="9">
      <t>イガイ</t>
    </rPh>
    <rPh sb="10" eb="12">
      <t>クンレン</t>
    </rPh>
    <rPh sb="13" eb="15">
      <t>バアイ</t>
    </rPh>
    <phoneticPr fontId="3"/>
  </si>
  <si>
    <t>（イ）　人への投資促進コース（大学・大学院（海外の大学院を含む）での訓練の場合）</t>
    <rPh sb="4" eb="5">
      <t>ヒト</t>
    </rPh>
    <rPh sb="7" eb="11">
      <t>トウシソクシン</t>
    </rPh>
    <rPh sb="15" eb="17">
      <t>ダイガク</t>
    </rPh>
    <rPh sb="18" eb="21">
      <t>ダイガクイン</t>
    </rPh>
    <rPh sb="22" eb="24">
      <t>カイガイ</t>
    </rPh>
    <rPh sb="25" eb="28">
      <t>ダイガクイン</t>
    </rPh>
    <rPh sb="29" eb="30">
      <t>フク</t>
    </rPh>
    <rPh sb="34" eb="36">
      <t>クンレン</t>
    </rPh>
    <rPh sb="37" eb="39">
      <t>バアイ</t>
    </rPh>
    <phoneticPr fontId="3"/>
  </si>
  <si>
    <t>事業展開等リスキリング支援コース</t>
    <rPh sb="0" eb="13">
      <t>ジギョウテンカイトウリスキリングシエン</t>
    </rPh>
    <phoneticPr fontId="3"/>
  </si>
  <si>
    <t>◎人への投資促進コース・事業展開等リスキリング支援コースの経費助成率の区分</t>
    <rPh sb="1" eb="2">
      <t>ヒト</t>
    </rPh>
    <rPh sb="4" eb="6">
      <t>トウシ</t>
    </rPh>
    <rPh sb="6" eb="8">
      <t>ソクシン</t>
    </rPh>
    <rPh sb="12" eb="25">
      <t>ジギョウテンカイトウリスキリングシエン</t>
    </rPh>
    <rPh sb="29" eb="31">
      <t>ケイヒ</t>
    </rPh>
    <rPh sb="31" eb="34">
      <t>ジョセイリツ</t>
    </rPh>
    <rPh sb="35" eb="37">
      <t>クブン</t>
    </rPh>
    <phoneticPr fontId="3"/>
  </si>
  <si>
    <t>人への投資促進コース</t>
    <rPh sb="0" eb="1">
      <t>ヒト</t>
    </rPh>
    <rPh sb="3" eb="7">
      <t>トウシソクシン</t>
    </rPh>
    <phoneticPr fontId="3"/>
  </si>
  <si>
    <t>中小企業</t>
    <rPh sb="0" eb="4">
      <t>チュウショウキギョウ</t>
    </rPh>
    <phoneticPr fontId="3"/>
  </si>
  <si>
    <t>大企業</t>
    <rPh sb="0" eb="3">
      <t>ダイキギョウ</t>
    </rPh>
    <phoneticPr fontId="3"/>
  </si>
  <si>
    <t>10時間以上
100時間未満</t>
    <rPh sb="2" eb="4">
      <t>ジカン</t>
    </rPh>
    <rPh sb="4" eb="6">
      <t>イジョウ</t>
    </rPh>
    <rPh sb="10" eb="12">
      <t>ジカン</t>
    </rPh>
    <rPh sb="12" eb="14">
      <t>ミマン</t>
    </rPh>
    <phoneticPr fontId="3"/>
  </si>
  <si>
    <t>100時間以上
200時間未満</t>
    <rPh sb="3" eb="5">
      <t>ジカン</t>
    </rPh>
    <rPh sb="5" eb="7">
      <t>イジョウ</t>
    </rPh>
    <rPh sb="11" eb="13">
      <t>ジカン</t>
    </rPh>
    <rPh sb="13" eb="15">
      <t>ミマン</t>
    </rPh>
    <phoneticPr fontId="3"/>
  </si>
  <si>
    <t>200時間以上</t>
    <rPh sb="3" eb="5">
      <t>ジカン</t>
    </rPh>
    <rPh sb="5" eb="7">
      <t>イジョウ</t>
    </rPh>
    <phoneticPr fontId="3"/>
  </si>
  <si>
    <t>大学</t>
    <rPh sb="0" eb="2">
      <t>ダイガク</t>
    </rPh>
    <phoneticPr fontId="3"/>
  </si>
  <si>
    <t>大学院</t>
    <rPh sb="0" eb="3">
      <t>ダイガクイン</t>
    </rPh>
    <phoneticPr fontId="3"/>
  </si>
  <si>
    <t>７万円</t>
    <rPh sb="1" eb="3">
      <t>マンエン</t>
    </rPh>
    <phoneticPr fontId="3"/>
  </si>
  <si>
    <t>15万円</t>
    <rPh sb="2" eb="4">
      <t>マンエン</t>
    </rPh>
    <phoneticPr fontId="3"/>
  </si>
  <si>
    <t>20万円</t>
    <rPh sb="2" eb="4">
      <t>マンエン</t>
    </rPh>
    <phoneticPr fontId="3"/>
  </si>
  <si>
    <t>60万円</t>
    <rPh sb="2" eb="4">
      <t>マンエン</t>
    </rPh>
    <phoneticPr fontId="3"/>
  </si>
  <si>
    <t>200万円</t>
    <rPh sb="3" eb="5">
      <t>マンエン</t>
    </rPh>
    <phoneticPr fontId="3"/>
  </si>
  <si>
    <t>30万円</t>
    <rPh sb="2" eb="4">
      <t>マンエン</t>
    </rPh>
    <phoneticPr fontId="3"/>
  </si>
  <si>
    <t>40万円</t>
    <rPh sb="2" eb="4">
      <t>マンエン</t>
    </rPh>
    <phoneticPr fontId="3"/>
  </si>
  <si>
    <t>25万円</t>
    <rPh sb="2" eb="4">
      <t>マンエン</t>
    </rPh>
    <phoneticPr fontId="3"/>
  </si>
  <si>
    <t>50万円</t>
    <rPh sb="2" eb="4">
      <t>マンエン</t>
    </rPh>
    <phoneticPr fontId="3"/>
  </si>
  <si>
    <t>150万円</t>
    <rPh sb="3" eb="5">
      <t>マンエン</t>
    </rPh>
    <phoneticPr fontId="3"/>
  </si>
  <si>
    <t>100万円</t>
    <rPh sb="3" eb="5">
      <t>マンエン</t>
    </rPh>
    <phoneticPr fontId="3"/>
  </si>
  <si>
    <t>500万円</t>
    <rPh sb="3" eb="5">
      <t>マンエン</t>
    </rPh>
    <phoneticPr fontId="3"/>
  </si>
  <si>
    <t>10万円</t>
    <rPh sb="2" eb="4">
      <t>マンエン</t>
    </rPh>
    <phoneticPr fontId="3"/>
  </si>
  <si>
    <t>※eラーニングによる訓練等及び通信制による訓練等（標準学習時間が定められているものは除く。）の場合、訓練時間数が10時間以上100時間未満の場合の区分とする。eラーニングによる訓練等及び通信制による訓練等で、標準学習時間が定められているものは当該時間数により上表の区分とする。</t>
    <rPh sb="10" eb="12">
      <t>クンレン</t>
    </rPh>
    <rPh sb="12" eb="13">
      <t>トウ</t>
    </rPh>
    <rPh sb="13" eb="14">
      <t>オヨ</t>
    </rPh>
    <rPh sb="15" eb="18">
      <t>ツウシンセイ</t>
    </rPh>
    <rPh sb="21" eb="23">
      <t>クンレン</t>
    </rPh>
    <rPh sb="23" eb="24">
      <t>トウ</t>
    </rPh>
    <rPh sb="25" eb="27">
      <t>ヒョウジュン</t>
    </rPh>
    <rPh sb="27" eb="29">
      <t>ガクシュウ</t>
    </rPh>
    <rPh sb="29" eb="31">
      <t>ジカン</t>
    </rPh>
    <rPh sb="32" eb="33">
      <t>サダ</t>
    </rPh>
    <rPh sb="42" eb="43">
      <t>ノゾ</t>
    </rPh>
    <rPh sb="47" eb="49">
      <t>バアイ</t>
    </rPh>
    <rPh sb="50" eb="52">
      <t>クンレン</t>
    </rPh>
    <rPh sb="52" eb="55">
      <t>ジカンスウ</t>
    </rPh>
    <rPh sb="58" eb="60">
      <t>ジカン</t>
    </rPh>
    <rPh sb="60" eb="62">
      <t>イジョウ</t>
    </rPh>
    <rPh sb="65" eb="67">
      <t>ジカン</t>
    </rPh>
    <rPh sb="67" eb="69">
      <t>ミマン</t>
    </rPh>
    <rPh sb="70" eb="72">
      <t>バアイ</t>
    </rPh>
    <rPh sb="73" eb="75">
      <t>クブン</t>
    </rPh>
    <rPh sb="88" eb="90">
      <t>クンレン</t>
    </rPh>
    <rPh sb="90" eb="91">
      <t>トウ</t>
    </rPh>
    <rPh sb="91" eb="92">
      <t>オヨ</t>
    </rPh>
    <rPh sb="93" eb="96">
      <t>ツウシンセイ</t>
    </rPh>
    <rPh sb="99" eb="101">
      <t>クンレン</t>
    </rPh>
    <rPh sb="101" eb="102">
      <t>トウ</t>
    </rPh>
    <rPh sb="104" eb="106">
      <t>ヒョウジュン</t>
    </rPh>
    <rPh sb="106" eb="108">
      <t>ガクシュウ</t>
    </rPh>
    <rPh sb="108" eb="110">
      <t>ジカン</t>
    </rPh>
    <rPh sb="111" eb="112">
      <t>サダ</t>
    </rPh>
    <rPh sb="121" eb="123">
      <t>トウガイ</t>
    </rPh>
    <rPh sb="123" eb="126">
      <t>ジカンスウ</t>
    </rPh>
    <rPh sb="129" eb="130">
      <t>ウエ</t>
    </rPh>
    <rPh sb="130" eb="131">
      <t>ヒョウ</t>
    </rPh>
    <rPh sb="132" eb="134">
      <t>クブン</t>
    </rPh>
    <phoneticPr fontId="3"/>
  </si>
  <si>
    <t>海外の大学院</t>
    <rPh sb="0" eb="2">
      <t>カイガイ</t>
    </rPh>
    <rPh sb="3" eb="6">
      <t>ダイガクイン</t>
    </rPh>
    <phoneticPr fontId="3"/>
  </si>
  <si>
    <t>※大学、大学院、海外の大学院の場合は、１人１年（訓練開始日から起算して１年間をいう。）あたりの限度額とする。</t>
    <rPh sb="1" eb="3">
      <t>ダイガク</t>
    </rPh>
    <rPh sb="4" eb="7">
      <t>ダイガクイン</t>
    </rPh>
    <rPh sb="8" eb="10">
      <t>カイガイ</t>
    </rPh>
    <rPh sb="11" eb="14">
      <t>ダイガクイン</t>
    </rPh>
    <rPh sb="15" eb="17">
      <t>バアイ</t>
    </rPh>
    <rPh sb="20" eb="21">
      <t>ニン</t>
    </rPh>
    <rPh sb="22" eb="23">
      <t>ネン</t>
    </rPh>
    <rPh sb="24" eb="26">
      <t>クンレン</t>
    </rPh>
    <rPh sb="26" eb="29">
      <t>カイシビ</t>
    </rPh>
    <rPh sb="31" eb="33">
      <t>キサン</t>
    </rPh>
    <rPh sb="36" eb="38">
      <t>ネンカン</t>
    </rPh>
    <rPh sb="47" eb="49">
      <t>ゲンド</t>
    </rPh>
    <rPh sb="49" eb="50">
      <t>ガク</t>
    </rPh>
    <phoneticPr fontId="3"/>
  </si>
  <si>
    <t>実訓練時間数に応じた経費助成限度額の区分</t>
    <rPh sb="0" eb="6">
      <t>ジツクンレンジカンスウ</t>
    </rPh>
    <rPh sb="7" eb="8">
      <t>オウ</t>
    </rPh>
    <rPh sb="10" eb="12">
      <t>ケイヒ</t>
    </rPh>
    <rPh sb="12" eb="14">
      <t>ジョセイ</t>
    </rPh>
    <rPh sb="14" eb="16">
      <t>ゲンド</t>
    </rPh>
    <rPh sb="16" eb="17">
      <t>ガク</t>
    </rPh>
    <rPh sb="18" eb="19">
      <t>ク</t>
    </rPh>
    <rPh sb="19" eb="20">
      <t>ブン</t>
    </rPh>
    <phoneticPr fontId="3"/>
  </si>
  <si>
    <t>※　情報技術分野認定実習併用職業訓練において、付加的に実施するeラーニングによる訓練等及び通信制による訓練等の場合は、実訓練時間数に応じて上表の区分を判断する情報技術分野認定実習併用職業訓練とは別に、企業規模に応じて、中小企業の場合は15万円、大企業の場合は10万円とする。</t>
    <rPh sb="2" eb="4">
      <t>ジョウホウ</t>
    </rPh>
    <rPh sb="4" eb="6">
      <t>ギジュツ</t>
    </rPh>
    <rPh sb="6" eb="8">
      <t>ブンヤ</t>
    </rPh>
    <rPh sb="8" eb="10">
      <t>ニンテイ</t>
    </rPh>
    <rPh sb="10" eb="12">
      <t>ジッシュウ</t>
    </rPh>
    <rPh sb="12" eb="18">
      <t>ヘイヨウショクギョウクンレン</t>
    </rPh>
    <rPh sb="23" eb="26">
      <t>フカテキ</t>
    </rPh>
    <rPh sb="27" eb="29">
      <t>ジッシ</t>
    </rPh>
    <rPh sb="40" eb="42">
      <t>クンレン</t>
    </rPh>
    <rPh sb="42" eb="43">
      <t>トウ</t>
    </rPh>
    <rPh sb="43" eb="44">
      <t>オヨ</t>
    </rPh>
    <rPh sb="45" eb="48">
      <t>ツウシンセイ</t>
    </rPh>
    <rPh sb="51" eb="53">
      <t>クンレン</t>
    </rPh>
    <rPh sb="53" eb="54">
      <t>トウ</t>
    </rPh>
    <rPh sb="55" eb="57">
      <t>バアイ</t>
    </rPh>
    <rPh sb="59" eb="60">
      <t>ジツ</t>
    </rPh>
    <rPh sb="60" eb="62">
      <t>クンレン</t>
    </rPh>
    <rPh sb="62" eb="65">
      <t>ジカンスウ</t>
    </rPh>
    <rPh sb="66" eb="67">
      <t>オウ</t>
    </rPh>
    <rPh sb="69" eb="70">
      <t>ジョウ</t>
    </rPh>
    <rPh sb="70" eb="71">
      <t>ヒョウ</t>
    </rPh>
    <rPh sb="72" eb="74">
      <t>クブン</t>
    </rPh>
    <rPh sb="75" eb="77">
      <t>ハンダン</t>
    </rPh>
    <rPh sb="79" eb="87">
      <t>ジョウホウギジュツブンヤニンテイ</t>
    </rPh>
    <rPh sb="87" eb="95">
      <t>ジッシュウヘイヨウショクギョウクンレン</t>
    </rPh>
    <rPh sb="97" eb="98">
      <t>ベツ</t>
    </rPh>
    <rPh sb="100" eb="102">
      <t>キギョウ</t>
    </rPh>
    <rPh sb="102" eb="104">
      <t>キボ</t>
    </rPh>
    <rPh sb="105" eb="106">
      <t>オウ</t>
    </rPh>
    <rPh sb="109" eb="111">
      <t>チュウショウ</t>
    </rPh>
    <rPh sb="111" eb="113">
      <t>キギョウ</t>
    </rPh>
    <rPh sb="114" eb="116">
      <t>バアイ</t>
    </rPh>
    <rPh sb="119" eb="121">
      <t>マンエン</t>
    </rPh>
    <rPh sb="122" eb="125">
      <t>ダイキギョウ</t>
    </rPh>
    <rPh sb="126" eb="128">
      <t>バアイ</t>
    </rPh>
    <rPh sb="131" eb="133">
      <t>マンエン</t>
    </rPh>
    <phoneticPr fontId="3"/>
  </si>
  <si>
    <t>◎人への投資促進コース・事業展開等リスキリング支援コースの１人あたりの経費助成限度額</t>
    <rPh sb="1" eb="2">
      <t>ヒト</t>
    </rPh>
    <rPh sb="4" eb="8">
      <t>トウシソクシン</t>
    </rPh>
    <rPh sb="12" eb="25">
      <t>ジギョウテンカイトウリスキリングシエン</t>
    </rPh>
    <rPh sb="30" eb="31">
      <t>ニン</t>
    </rPh>
    <rPh sb="35" eb="37">
      <t>ケイヒ</t>
    </rPh>
    <rPh sb="37" eb="39">
      <t>ジョセイ</t>
    </rPh>
    <rPh sb="39" eb="41">
      <t>ゲンド</t>
    </rPh>
    <rPh sb="41" eb="42">
      <t>ガク</t>
    </rPh>
    <phoneticPr fontId="3"/>
  </si>
  <si>
    <t>※賃金要件等割増分の申請である場合、記載してください。</t>
  </si>
  <si>
    <t>※賃金要件等割増分の申請である場合、記載してください。</t>
    <phoneticPr fontId="3"/>
  </si>
  <si>
    <t>様式第6-2号（第１面）（R7.4）</t>
    <rPh sb="0" eb="1">
      <t>サマ</t>
    </rPh>
    <rPh sb="1" eb="2">
      <t>シキ</t>
    </rPh>
    <rPh sb="2" eb="3">
      <t>ダイ</t>
    </rPh>
    <rPh sb="6" eb="7">
      <t>ゴウ</t>
    </rPh>
    <rPh sb="8" eb="9">
      <t>ダイ</t>
    </rPh>
    <rPh sb="10" eb="11">
      <t>メン</t>
    </rPh>
    <phoneticPr fontId="3"/>
  </si>
  <si>
    <r>
      <t>人材開発支援助成金</t>
    </r>
    <r>
      <rPr>
        <b/>
        <sz val="16"/>
        <rFont val="Meiryo UI"/>
        <family val="3"/>
        <charset val="128"/>
      </rPr>
      <t>（人への投資促進コース・事業展開等リスキリング支援コース）</t>
    </r>
    <r>
      <rPr>
        <b/>
        <sz val="18"/>
        <rFont val="Meiryo UI"/>
        <family val="3"/>
        <charset val="128"/>
      </rPr>
      <t>経費助成の内訳</t>
    </r>
    <rPh sb="0" eb="2">
      <t>ジンザイ</t>
    </rPh>
    <rPh sb="2" eb="4">
      <t>カイハツ</t>
    </rPh>
    <rPh sb="4" eb="6">
      <t>シエン</t>
    </rPh>
    <rPh sb="6" eb="9">
      <t>ジョセイキン</t>
    </rPh>
    <rPh sb="10" eb="11">
      <t>ヒト</t>
    </rPh>
    <rPh sb="13" eb="17">
      <t>トウシソクシン</t>
    </rPh>
    <rPh sb="38" eb="40">
      <t>ケイヒ</t>
    </rPh>
    <rPh sb="40" eb="42">
      <t>ジョセイ</t>
    </rPh>
    <rPh sb="43" eb="45">
      <t>ウチワケ</t>
    </rPh>
    <phoneticPr fontId="3"/>
  </si>
  <si>
    <t>雇用保険適用事業所の名称</t>
    <rPh sb="0" eb="4">
      <t>コヨウホケン</t>
    </rPh>
    <rPh sb="4" eb="6">
      <t>テキヨウ</t>
    </rPh>
    <rPh sb="6" eb="9">
      <t>ジギョウショ</t>
    </rPh>
    <rPh sb="10" eb="12">
      <t>メイショウ</t>
    </rPh>
    <phoneticPr fontId="3"/>
  </si>
  <si>
    <r>
      <rPr>
        <b/>
        <u/>
        <sz val="10"/>
        <rFont val="Meiryo UI"/>
        <family val="3"/>
        <charset val="128"/>
      </rPr>
      <t>定額制訓練の場合</t>
    </r>
    <r>
      <rPr>
        <sz val="10"/>
        <rFont val="Meiryo UI"/>
        <family val="3"/>
        <charset val="128"/>
      </rPr>
      <t>は、</t>
    </r>
    <r>
      <rPr>
        <b/>
        <u/>
        <sz val="10"/>
        <rFont val="Meiryo UI"/>
        <family val="3"/>
        <charset val="128"/>
      </rPr>
      <t>本様式ではなく、「定額制サービスによる訓練に関する経費助成の内訳」（様式第6-3号）を提出してください</t>
    </r>
    <r>
      <rPr>
        <sz val="10"/>
        <rFont val="Meiryo UI"/>
        <family val="3"/>
        <charset val="128"/>
      </rPr>
      <t>。</t>
    </r>
    <rPh sb="3" eb="5">
      <t>クンレン</t>
    </rPh>
    <rPh sb="6" eb="8">
      <t>バアイ</t>
    </rPh>
    <rPh sb="19" eb="22">
      <t>テイガクセイ</t>
    </rPh>
    <rPh sb="29" eb="31">
      <t>クンレン</t>
    </rPh>
    <rPh sb="32" eb="33">
      <t>カン</t>
    </rPh>
    <rPh sb="35" eb="37">
      <t>ケイヒ</t>
    </rPh>
    <phoneticPr fontId="3"/>
  </si>
  <si>
    <r>
      <rPr>
        <b/>
        <sz val="10"/>
        <rFont val="Meiryo UI"/>
        <family val="3"/>
        <charset val="128"/>
      </rPr>
      <t>３欄は</t>
    </r>
    <r>
      <rPr>
        <sz val="10"/>
        <rFont val="Meiryo UI"/>
        <family val="3"/>
        <charset val="128"/>
      </rPr>
      <t>、OFF-JTに係る経費助成額の算出を行います。OFF-JTに要した経費から算出した経費助成額を経費助成限度額と比較し、少額である方が経費助成額になります。</t>
    </r>
    <rPh sb="1" eb="2">
      <t>ラン</t>
    </rPh>
    <rPh sb="11" eb="12">
      <t>カカ</t>
    </rPh>
    <rPh sb="13" eb="15">
      <t>ケイヒ</t>
    </rPh>
    <rPh sb="15" eb="18">
      <t>ジョセイガク</t>
    </rPh>
    <rPh sb="19" eb="21">
      <t>サンシュツ</t>
    </rPh>
    <rPh sb="22" eb="23">
      <t>オコナ</t>
    </rPh>
    <rPh sb="34" eb="35">
      <t>ヨウ</t>
    </rPh>
    <rPh sb="37" eb="39">
      <t>ケイヒ</t>
    </rPh>
    <rPh sb="41" eb="43">
      <t>サンシュツ</t>
    </rPh>
    <rPh sb="45" eb="47">
      <t>ケイヒ</t>
    </rPh>
    <rPh sb="47" eb="50">
      <t>ジョセイガク</t>
    </rPh>
    <rPh sb="51" eb="53">
      <t>ケイヒ</t>
    </rPh>
    <rPh sb="53" eb="55">
      <t>ジョセイ</t>
    </rPh>
    <rPh sb="55" eb="58">
      <t>ゲンドガク</t>
    </rPh>
    <rPh sb="59" eb="61">
      <t>ヒカク</t>
    </rPh>
    <rPh sb="63" eb="65">
      <t>ショウガク</t>
    </rPh>
    <rPh sb="68" eb="69">
      <t>ホウ</t>
    </rPh>
    <rPh sb="70" eb="72">
      <t>ケイヒ</t>
    </rPh>
    <rPh sb="72" eb="75">
      <t>ジョセイガク</t>
    </rPh>
    <phoneticPr fontId="3"/>
  </si>
  <si>
    <r>
      <rPr>
        <b/>
        <sz val="10"/>
        <rFont val="Meiryo UI"/>
        <family val="3"/>
        <charset val="128"/>
      </rPr>
      <t>３（１）欄では</t>
    </r>
    <r>
      <rPr>
        <sz val="10"/>
        <rFont val="Meiryo UI"/>
        <family val="3"/>
        <charset val="128"/>
      </rPr>
      <t>、事業内訓練に係る経費を算出します。事業内訓練で助成対象となる経費は、①部外講師の謝金、②部外講師の旅費、③施設・設備の借上げ費、④教科書・教材費、⑤訓練コースの開発費です。一部の労働者について申請をする場合は、①から⑤までの合計額（事業内訓練経費計）に、「支給対象労働者数÷訓練コースの総受講者数」により得た割合を乗じて、支給対象労働者分の事業内訓練経費計を算出してください。なお、情報技術分野認定実習併用職業訓練については、事業主が自ら運営する認定職業訓練により訓練を実施する場合のみ助成対象となる経費を記入してください。ただし、下記【その他】１に該当する場合は、助成対象となる経費を記載しないでください。</t>
    </r>
    <rPh sb="4" eb="5">
      <t>ラン</t>
    </rPh>
    <rPh sb="8" eb="10">
      <t>ジギョウ</t>
    </rPh>
    <rPh sb="10" eb="11">
      <t>ナイ</t>
    </rPh>
    <rPh sb="11" eb="13">
      <t>クンレン</t>
    </rPh>
    <rPh sb="14" eb="15">
      <t>カカ</t>
    </rPh>
    <rPh sb="16" eb="18">
      <t>ケイヒ</t>
    </rPh>
    <rPh sb="19" eb="21">
      <t>サンシュツ</t>
    </rPh>
    <rPh sb="25" eb="27">
      <t>ジギョウ</t>
    </rPh>
    <rPh sb="27" eb="28">
      <t>ナイ</t>
    </rPh>
    <rPh sb="28" eb="30">
      <t>クンレン</t>
    </rPh>
    <rPh sb="31" eb="33">
      <t>ジョセイ</t>
    </rPh>
    <rPh sb="33" eb="35">
      <t>タイショウ</t>
    </rPh>
    <rPh sb="38" eb="40">
      <t>ケイヒ</t>
    </rPh>
    <rPh sb="43" eb="45">
      <t>ブガイ</t>
    </rPh>
    <rPh sb="45" eb="47">
      <t>コウシ</t>
    </rPh>
    <rPh sb="48" eb="50">
      <t>シャキン</t>
    </rPh>
    <rPh sb="52" eb="54">
      <t>ブガイ</t>
    </rPh>
    <rPh sb="54" eb="56">
      <t>コウシ</t>
    </rPh>
    <rPh sb="57" eb="59">
      <t>リョヒ</t>
    </rPh>
    <rPh sb="61" eb="63">
      <t>シセツ</t>
    </rPh>
    <rPh sb="64" eb="66">
      <t>セツビ</t>
    </rPh>
    <rPh sb="67" eb="68">
      <t>カ</t>
    </rPh>
    <rPh sb="68" eb="69">
      <t>ア</t>
    </rPh>
    <rPh sb="73" eb="76">
      <t>キョウカショ</t>
    </rPh>
    <rPh sb="77" eb="80">
      <t>キョウザイヒ</t>
    </rPh>
    <rPh sb="94" eb="96">
      <t>イチブ</t>
    </rPh>
    <rPh sb="97" eb="100">
      <t>ロウドウシャ</t>
    </rPh>
    <rPh sb="104" eb="106">
      <t>シンセイ</t>
    </rPh>
    <rPh sb="109" eb="111">
      <t>バアイ</t>
    </rPh>
    <rPh sb="120" eb="123">
      <t>ゴウケイガク</t>
    </rPh>
    <rPh sb="124" eb="126">
      <t>ジギョウ</t>
    </rPh>
    <rPh sb="126" eb="127">
      <t>ナイ</t>
    </rPh>
    <rPh sb="127" eb="129">
      <t>クンレン</t>
    </rPh>
    <rPh sb="129" eb="131">
      <t>ケイヒ</t>
    </rPh>
    <rPh sb="131" eb="132">
      <t>ケイ</t>
    </rPh>
    <rPh sb="136" eb="138">
      <t>シキュウ</t>
    </rPh>
    <rPh sb="138" eb="140">
      <t>タイショウ</t>
    </rPh>
    <rPh sb="140" eb="143">
      <t>ロウドウシャ</t>
    </rPh>
    <rPh sb="143" eb="144">
      <t>スウ</t>
    </rPh>
    <rPh sb="160" eb="161">
      <t>エ</t>
    </rPh>
    <rPh sb="162" eb="164">
      <t>ワリアイ</t>
    </rPh>
    <rPh sb="165" eb="166">
      <t>ジョウ</t>
    </rPh>
    <rPh sb="169" eb="171">
      <t>シキュウ</t>
    </rPh>
    <rPh sb="171" eb="173">
      <t>タイショウ</t>
    </rPh>
    <rPh sb="173" eb="176">
      <t>ロウドウシャ</t>
    </rPh>
    <rPh sb="176" eb="177">
      <t>ブン</t>
    </rPh>
    <rPh sb="178" eb="180">
      <t>ジギョウ</t>
    </rPh>
    <rPh sb="180" eb="181">
      <t>ナイ</t>
    </rPh>
    <rPh sb="181" eb="183">
      <t>クンレン</t>
    </rPh>
    <rPh sb="183" eb="185">
      <t>ケイヒ</t>
    </rPh>
    <rPh sb="185" eb="186">
      <t>ケイ</t>
    </rPh>
    <rPh sb="187" eb="189">
      <t>サンシュツ</t>
    </rPh>
    <rPh sb="274" eb="276">
      <t>カキ</t>
    </rPh>
    <rPh sb="279" eb="280">
      <t>タ</t>
    </rPh>
    <rPh sb="283" eb="285">
      <t>ガイトウ</t>
    </rPh>
    <rPh sb="287" eb="289">
      <t>バアイ</t>
    </rPh>
    <rPh sb="291" eb="293">
      <t>ジョセイ</t>
    </rPh>
    <rPh sb="293" eb="295">
      <t>タイショウ</t>
    </rPh>
    <rPh sb="298" eb="300">
      <t>ケイヒ</t>
    </rPh>
    <phoneticPr fontId="3"/>
  </si>
  <si>
    <t>「支給対象労働者」とは、「対象労働者一覧」（様式第3-1号）に記載した対象労働者であって、訓練コースの実訓練時間数（情報技術分野認定実習併用職業訓練のOJTについては総訓練時間数）の８割以上出席した者のことをいいます（eラーニングによる訓練及び通信制による訓練を除く。）。</t>
    <rPh sb="1" eb="3">
      <t>シキュウ</t>
    </rPh>
    <rPh sb="3" eb="5">
      <t>タイショウ</t>
    </rPh>
    <rPh sb="5" eb="8">
      <t>ロウドウシャ</t>
    </rPh>
    <rPh sb="18" eb="20">
      <t>イチラン</t>
    </rPh>
    <rPh sb="22" eb="24">
      <t>ヨウシキ</t>
    </rPh>
    <rPh sb="24" eb="25">
      <t>ダイ</t>
    </rPh>
    <rPh sb="28" eb="29">
      <t>ゴウ</t>
    </rPh>
    <rPh sb="35" eb="37">
      <t>タイショウ</t>
    </rPh>
    <rPh sb="37" eb="40">
      <t>ロウドウシャ</t>
    </rPh>
    <rPh sb="45" eb="47">
      <t>クンレン</t>
    </rPh>
    <rPh sb="51" eb="52">
      <t>ジツ</t>
    </rPh>
    <rPh sb="52" eb="54">
      <t>クンレン</t>
    </rPh>
    <rPh sb="54" eb="57">
      <t>ジカンスウ</t>
    </rPh>
    <rPh sb="92" eb="93">
      <t>ワリ</t>
    </rPh>
    <rPh sb="93" eb="95">
      <t>イジョウ</t>
    </rPh>
    <rPh sb="95" eb="97">
      <t>シュッセキ</t>
    </rPh>
    <rPh sb="99" eb="100">
      <t>シャ</t>
    </rPh>
    <rPh sb="120" eb="121">
      <t>オヨ</t>
    </rPh>
    <phoneticPr fontId="3"/>
  </si>
  <si>
    <t>事業内訓練の「総受講者数」とは、支給対象労働者以外の受講者を含めた、訓練コース全体の受講者数のことをいいます。</t>
    <rPh sb="0" eb="2">
      <t>ジギョウ</t>
    </rPh>
    <rPh sb="2" eb="3">
      <t>ナイ</t>
    </rPh>
    <rPh sb="3" eb="5">
      <t>クンレン</t>
    </rPh>
    <rPh sb="7" eb="11">
      <t>ソウジュコウシャ</t>
    </rPh>
    <rPh sb="11" eb="12">
      <t>スウ</t>
    </rPh>
    <rPh sb="16" eb="18">
      <t>シキュウ</t>
    </rPh>
    <rPh sb="18" eb="20">
      <t>タイショウ</t>
    </rPh>
    <rPh sb="20" eb="23">
      <t>ロウドウシャ</t>
    </rPh>
    <rPh sb="23" eb="25">
      <t>イガイ</t>
    </rPh>
    <rPh sb="26" eb="29">
      <t>ジュコウシャ</t>
    </rPh>
    <rPh sb="28" eb="29">
      <t>シャ</t>
    </rPh>
    <rPh sb="30" eb="31">
      <t>フク</t>
    </rPh>
    <rPh sb="34" eb="36">
      <t>クンレン</t>
    </rPh>
    <rPh sb="39" eb="41">
      <t>ゼンタイ</t>
    </rPh>
    <rPh sb="42" eb="45">
      <t>ジュコウシャ</t>
    </rPh>
    <rPh sb="45" eb="46">
      <t>スウ</t>
    </rPh>
    <phoneticPr fontId="3"/>
  </si>
  <si>
    <t>（支給対象労働者数÷総受講者数）の値は、総受講者に占める助成対象労働者の割合です。</t>
    <rPh sb="1" eb="3">
      <t>シキュウ</t>
    </rPh>
    <rPh sb="3" eb="5">
      <t>タイショウ</t>
    </rPh>
    <rPh sb="5" eb="8">
      <t>ロウドウシャ</t>
    </rPh>
    <rPh sb="8" eb="9">
      <t>スウ</t>
    </rPh>
    <rPh sb="10" eb="11">
      <t>ソウ</t>
    </rPh>
    <rPh sb="11" eb="14">
      <t>ジュコウシャ</t>
    </rPh>
    <rPh sb="14" eb="15">
      <t>スウ</t>
    </rPh>
    <rPh sb="17" eb="18">
      <t>アタイ</t>
    </rPh>
    <rPh sb="20" eb="24">
      <t>ソウジュコウシャ</t>
    </rPh>
    <rPh sb="25" eb="26">
      <t>シ</t>
    </rPh>
    <rPh sb="28" eb="30">
      <t>ジョセイ</t>
    </rPh>
    <rPh sb="30" eb="32">
      <t>タイショウ</t>
    </rPh>
    <rPh sb="32" eb="35">
      <t>ロウドウシャ</t>
    </rPh>
    <rPh sb="36" eb="38">
      <t>ワリアイ</t>
    </rPh>
    <phoneticPr fontId="3"/>
  </si>
  <si>
    <r>
      <rPr>
        <b/>
        <sz val="10"/>
        <rFont val="Meiryo UI"/>
        <family val="3"/>
        <charset val="128"/>
      </rPr>
      <t>３（２）欄では</t>
    </r>
    <r>
      <rPr>
        <sz val="10"/>
        <rFont val="Meiryo UI"/>
        <family val="3"/>
        <charset val="128"/>
      </rPr>
      <t>、事業外訓練に係る経費を算出します。事業外訓練で助成対象となる経費は、①入学料・受講料・教科書代等（あらかじめ受講案内等で定められているものに限る。）です。</t>
    </r>
    <rPh sb="8" eb="10">
      <t>ジギョウ</t>
    </rPh>
    <rPh sb="10" eb="11">
      <t>ガイ</t>
    </rPh>
    <rPh sb="11" eb="13">
      <t>クンレン</t>
    </rPh>
    <rPh sb="25" eb="27">
      <t>ジギョウ</t>
    </rPh>
    <rPh sb="27" eb="28">
      <t>ガイ</t>
    </rPh>
    <rPh sb="28" eb="30">
      <t>クンレン</t>
    </rPh>
    <rPh sb="31" eb="33">
      <t>ジョセイ</t>
    </rPh>
    <rPh sb="33" eb="35">
      <t>タイショウ</t>
    </rPh>
    <rPh sb="38" eb="40">
      <t>ケイヒ</t>
    </rPh>
    <rPh sb="43" eb="46">
      <t>ニュウガクリョウ</t>
    </rPh>
    <rPh sb="47" eb="50">
      <t>ジュコウリョウ</t>
    </rPh>
    <rPh sb="51" eb="54">
      <t>キョウカショ</t>
    </rPh>
    <rPh sb="54" eb="56">
      <t>ダイトウ</t>
    </rPh>
    <rPh sb="62" eb="64">
      <t>ジュコウ</t>
    </rPh>
    <rPh sb="64" eb="67">
      <t>アンナイトウ</t>
    </rPh>
    <rPh sb="68" eb="69">
      <t>サダ</t>
    </rPh>
    <rPh sb="78" eb="79">
      <t>カギ</t>
    </rPh>
    <phoneticPr fontId="3"/>
  </si>
  <si>
    <r>
      <rPr>
        <b/>
        <sz val="10"/>
        <rFont val="Meiryo UI"/>
        <family val="3"/>
        <charset val="128"/>
      </rPr>
      <t>３（３）欄では</t>
    </r>
    <r>
      <rPr>
        <sz val="10"/>
        <rFont val="Meiryo UI"/>
        <family val="3"/>
        <charset val="128"/>
      </rPr>
      <t>、訓練として行われる職業能力検定・キャリアコンサルティングに係る経費を算出します。対象訓練に関連した特定職業能力検定・キャリアコンサルティングを計画時の実訓練時間数に計上して実施した場合に、これらに要した経費及び消費税について対象経費となります。
また、</t>
    </r>
    <r>
      <rPr>
        <b/>
        <sz val="10"/>
        <rFont val="Meiryo UI"/>
        <family val="3"/>
        <charset val="128"/>
      </rPr>
      <t>３（３）</t>
    </r>
    <r>
      <rPr>
        <sz val="10"/>
        <rFont val="Meiryo UI"/>
        <family val="3"/>
        <charset val="128"/>
      </rPr>
      <t>欄では、次のaからcのいずれかに該当する資格・試験に要する受験料（あらかじめ試験案内等で定められている合格後の資格証明書類の発行費用を含む。）及び受験の前提として必須となる検査に係る経費です。ただし、支給対象訓練カリキュラム等において取得目標とされている資格・試験であるとともに、当該課程の終了日の翌日から起算して６か月以内（天災等やむを得ない場合は原則６か月以内）に受験したものに限ります。また、１回の職業訓練実施計画届あたり資格・試験につき１回までが支給対象となります（不合格となった場合の再試験など、２回目以降の同じ試験の受験料等は支給対象になりません）。なお、高度デジタル人材等訓練のうち高度デジタル人材訓練及び情報技術分野認定実習併用職業訓練ついてはaに限ります。自発的職業能力開発訓練については、受験料は対象となりません。</t>
    </r>
    <rPh sb="48" eb="52">
      <t>タイショウクンレン</t>
    </rPh>
    <rPh sb="57" eb="59">
      <t>トクテイ</t>
    </rPh>
    <rPh sb="79" eb="82">
      <t>ケイカクジ</t>
    </rPh>
    <rPh sb="83" eb="84">
      <t>ジツ</t>
    </rPh>
    <rPh sb="84" eb="86">
      <t>クンレン</t>
    </rPh>
    <rPh sb="86" eb="89">
      <t>ジカンスウ</t>
    </rPh>
    <rPh sb="90" eb="92">
      <t>ケイジョウ</t>
    </rPh>
    <rPh sb="94" eb="96">
      <t>ジッシ</t>
    </rPh>
    <rPh sb="98" eb="100">
      <t>バアイ</t>
    </rPh>
    <rPh sb="106" eb="107">
      <t>ヨウ</t>
    </rPh>
    <rPh sb="109" eb="111">
      <t>ケイヒ</t>
    </rPh>
    <rPh sb="111" eb="112">
      <t>オヨ</t>
    </rPh>
    <rPh sb="113" eb="116">
      <t>ショウヒゼイ</t>
    </rPh>
    <rPh sb="120" eb="122">
      <t>タイショウ</t>
    </rPh>
    <rPh sb="122" eb="124">
      <t>ケイヒ</t>
    </rPh>
    <phoneticPr fontId="3"/>
  </si>
  <si>
    <r>
      <rPr>
        <b/>
        <sz val="10"/>
        <rFont val="Meiryo UI"/>
        <family val="3"/>
        <charset val="128"/>
      </rPr>
      <t>４（１）欄では</t>
    </r>
    <r>
      <rPr>
        <sz val="10"/>
        <rFont val="Meiryo UI"/>
        <family val="3"/>
        <charset val="128"/>
      </rPr>
      <t>、３欄で算出した対象経費のうち、事業主が訓練経費を負担した割合を記入した上で、事業主が負担した訓練経費に助成率を乗じて算出します。自発的職業能力開発訓練</t>
    </r>
    <r>
      <rPr>
        <u/>
        <sz val="10"/>
        <rFont val="Meiryo UI"/>
        <family val="3"/>
        <charset val="128"/>
      </rPr>
      <t>以外</t>
    </r>
    <r>
      <rPr>
        <sz val="10"/>
        <rFont val="Meiryo UI"/>
        <family val="3"/>
        <charset val="128"/>
      </rPr>
      <t>の訓練の場合は、②申請事業主が負担した割合が100％でない場合、経費助成は助成対象外となります（育児休業中訓練の場合を除く。）。また、自発的職業能力開発訓練の場合は、②申請事業主が負担した割合が50％以上でない場合、不支給となります。なお、算定額について、100円未満は切り捨てします。</t>
    </r>
    <rPh sb="9" eb="10">
      <t>ラン</t>
    </rPh>
    <rPh sb="11" eb="13">
      <t>サンシュツ</t>
    </rPh>
    <rPh sb="15" eb="17">
      <t>タイショウ</t>
    </rPh>
    <rPh sb="17" eb="19">
      <t>ケイヒ</t>
    </rPh>
    <rPh sb="23" eb="26">
      <t>ジギョウヌシ</t>
    </rPh>
    <rPh sb="27" eb="29">
      <t>クンレン</t>
    </rPh>
    <rPh sb="29" eb="31">
      <t>ケイヒ</t>
    </rPh>
    <rPh sb="32" eb="34">
      <t>フタン</t>
    </rPh>
    <rPh sb="36" eb="38">
      <t>ワリアイ</t>
    </rPh>
    <rPh sb="39" eb="41">
      <t>キニュウ</t>
    </rPh>
    <rPh sb="43" eb="44">
      <t>ウエ</t>
    </rPh>
    <rPh sb="46" eb="49">
      <t>ジギョウヌシ</t>
    </rPh>
    <rPh sb="50" eb="52">
      <t>フタン</t>
    </rPh>
    <rPh sb="54" eb="56">
      <t>クンレン</t>
    </rPh>
    <rPh sb="56" eb="58">
      <t>ケイヒ</t>
    </rPh>
    <rPh sb="59" eb="61">
      <t>ジョセイ</t>
    </rPh>
    <rPh sb="61" eb="62">
      <t>リツ</t>
    </rPh>
    <rPh sb="63" eb="64">
      <t>ジョウ</t>
    </rPh>
    <rPh sb="66" eb="68">
      <t>サンシュツ</t>
    </rPh>
    <rPh sb="72" eb="83">
      <t>ジハツテキショクギョウノウリョクカイハツクンレン</t>
    </rPh>
    <rPh sb="83" eb="85">
      <t>イガイ</t>
    </rPh>
    <rPh sb="86" eb="88">
      <t>クンレン</t>
    </rPh>
    <rPh sb="89" eb="91">
      <t>バアイ</t>
    </rPh>
    <rPh sb="94" eb="96">
      <t>シンセイ</t>
    </rPh>
    <rPh sb="96" eb="98">
      <t>ジギョウ</t>
    </rPh>
    <rPh sb="98" eb="99">
      <t>ヌシ</t>
    </rPh>
    <rPh sb="100" eb="102">
      <t>フタン</t>
    </rPh>
    <rPh sb="104" eb="106">
      <t>ワリアイ</t>
    </rPh>
    <rPh sb="114" eb="116">
      <t>バアイ</t>
    </rPh>
    <rPh sb="117" eb="119">
      <t>ケイヒ</t>
    </rPh>
    <rPh sb="119" eb="121">
      <t>ジョセイ</t>
    </rPh>
    <rPh sb="122" eb="124">
      <t>ジョセイ</t>
    </rPh>
    <rPh sb="124" eb="126">
      <t>タイショウ</t>
    </rPh>
    <rPh sb="126" eb="127">
      <t>ガイ</t>
    </rPh>
    <rPh sb="133" eb="138">
      <t>イクジキュウギョウチュウ</t>
    </rPh>
    <rPh sb="138" eb="140">
      <t>クンレン</t>
    </rPh>
    <rPh sb="141" eb="143">
      <t>バアイ</t>
    </rPh>
    <rPh sb="144" eb="145">
      <t>ノゾ</t>
    </rPh>
    <rPh sb="152" eb="163">
      <t>ジハツテキショクギョウノウリョクカイハツクンレン</t>
    </rPh>
    <rPh sb="164" eb="166">
      <t>バアイ</t>
    </rPh>
    <rPh sb="169" eb="171">
      <t>シンセイ</t>
    </rPh>
    <rPh sb="171" eb="174">
      <t>ジギョウヌシ</t>
    </rPh>
    <rPh sb="175" eb="177">
      <t>フタン</t>
    </rPh>
    <rPh sb="179" eb="181">
      <t>ワリアイ</t>
    </rPh>
    <rPh sb="185" eb="187">
      <t>イジョウ</t>
    </rPh>
    <rPh sb="190" eb="192">
      <t>バアイ</t>
    </rPh>
    <rPh sb="193" eb="194">
      <t>フ</t>
    </rPh>
    <rPh sb="194" eb="196">
      <t>シキュウ</t>
    </rPh>
    <rPh sb="205" eb="207">
      <t>サンテイ</t>
    </rPh>
    <rPh sb="207" eb="208">
      <t>ガク</t>
    </rPh>
    <rPh sb="216" eb="217">
      <t>エン</t>
    </rPh>
    <rPh sb="217" eb="219">
      <t>ミマン</t>
    </rPh>
    <rPh sb="220" eb="221">
      <t>キ</t>
    </rPh>
    <rPh sb="222" eb="223">
      <t>ス</t>
    </rPh>
    <phoneticPr fontId="3"/>
  </si>
  <si>
    <r>
      <rPr>
        <b/>
        <sz val="10"/>
        <rFont val="Meiryo UI"/>
        <family val="3"/>
        <charset val="128"/>
      </rPr>
      <t>４（２）欄では</t>
    </r>
    <r>
      <rPr>
        <sz val="10"/>
        <rFont val="Meiryo UI"/>
        <family val="3"/>
        <charset val="128"/>
      </rPr>
      <t>、経費助成限度額を算出します。</t>
    </r>
    <phoneticPr fontId="3"/>
  </si>
  <si>
    <t>様式第6-2号（第3面）</t>
    <rPh sb="0" eb="1">
      <t>サマ</t>
    </rPh>
    <rPh sb="1" eb="2">
      <t>シキ</t>
    </rPh>
    <rPh sb="2" eb="3">
      <t>ダイ</t>
    </rPh>
    <rPh sb="6" eb="7">
      <t>ゴウ</t>
    </rPh>
    <rPh sb="8" eb="9">
      <t>ダイ</t>
    </rPh>
    <rPh sb="10" eb="11">
      <t>メン</t>
    </rPh>
    <phoneticPr fontId="3"/>
  </si>
  <si>
    <r>
      <t>③通常分の経費助成額</t>
    </r>
    <r>
      <rPr>
        <sz val="8"/>
        <rFont val="Meiryo UI"/>
        <family val="3"/>
        <charset val="128"/>
      </rPr>
      <t>※</t>
    </r>
    <rPh sb="1" eb="3">
      <t>ツウジョウ</t>
    </rPh>
    <rPh sb="3" eb="4">
      <t>ブン</t>
    </rPh>
    <rPh sb="5" eb="10">
      <t>ケイヒジョセイガク</t>
    </rPh>
    <phoneticPr fontId="3"/>
  </si>
  <si>
    <t>様式第6-2号（第２面）</t>
    <rPh sb="0" eb="1">
      <t>サマ</t>
    </rPh>
    <rPh sb="1" eb="2">
      <t>シキ</t>
    </rPh>
    <rPh sb="2" eb="3">
      <t>ダイ</t>
    </rPh>
    <rPh sb="6" eb="7">
      <t>ゴウ</t>
    </rPh>
    <rPh sb="8" eb="9">
      <t>ダイ</t>
    </rPh>
    <rPh sb="10" eb="11">
      <t>メン</t>
    </rPh>
    <phoneticPr fontId="3"/>
  </si>
  <si>
    <t>①１人当たりの職業能力検定・キャリアコンサルティング・資格試験に要した経費</t>
    <rPh sb="2" eb="3">
      <t>ニン</t>
    </rPh>
    <rPh sb="3" eb="4">
      <t>ア</t>
    </rPh>
    <rPh sb="7" eb="9">
      <t>ショクギョウ</t>
    </rPh>
    <rPh sb="9" eb="11">
      <t>ノウリョク</t>
    </rPh>
    <rPh sb="11" eb="13">
      <t>ケンテイ</t>
    </rPh>
    <rPh sb="27" eb="29">
      <t>シカク</t>
    </rPh>
    <rPh sb="29" eb="31">
      <t>シケン</t>
    </rPh>
    <rPh sb="32" eb="33">
      <t>ヨウ</t>
    </rPh>
    <rPh sb="35" eb="37">
      <t>ケイヒ</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</si>
</sst>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9" x14ac:knownFonts="1">
    <font>
      <sz val="11"/>
      <name val="ＭＳ Ｐゴシック"/>
      <family val="3"/>
      <charset val="128"/>
    </font>
    <font>
      <sz val="11"/>
      <color theme="1"/>
      <name val="游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11"/>
      <name val="Meiryo UI"/>
      <family val="3"/>
      <charset val="128"/>
    </font>
    <font>
      <sz val="9"/>
      <name val="Meiryo UI"/>
      <family val="3"/>
      <charset val="128"/>
    </font>
    <font>
      <b/>
      <sz val="14"/>
      <name val="Meiryo UI"/>
      <family val="3"/>
      <charset val="128"/>
    </font>
    <font>
      <sz val="8"/>
      <name val="Meiryo UI"/>
      <family val="3"/>
      <charset val="128"/>
    </font>
    <font>
      <b/>
      <sz val="10"/>
      <name val="Meiryo UI"/>
      <family val="3"/>
      <charset val="128"/>
    </font>
    <font>
      <b/>
      <sz val="10"/>
      <color rgb="FFFF0000"/>
      <name val="Meiryo UI"/>
      <family val="3"/>
      <charset val="128"/>
    </font>
    <font>
      <sz val="10"/>
      <color theme="1"/>
      <name val="Meiryo UI"/>
      <family val="3"/>
      <charset val="128"/>
    </font>
    <font>
      <sz val="10"/>
      <color rgb="FFFF0000"/>
      <name val="Meiryo UI"/>
      <family val="3"/>
      <charset val="128"/>
    </font>
    <font>
      <strike/>
      <sz val="10"/>
      <name val="Meiryo UI"/>
      <family val="3"/>
      <charset val="128"/>
    </font>
    <font>
      <b/>
      <sz val="11"/>
      <name val="Meiryo UI"/>
      <family val="3"/>
      <charset val="128"/>
    </font>
    <font>
      <sz val="7"/>
      <name val="Meiryo UI"/>
      <family val="3"/>
      <charset val="128"/>
    </font>
    <font>
      <sz val="10"/>
      <color theme="5" tint="-0.249977111117893"/>
      <name val="Meiryo UI"/>
      <family val="3"/>
      <charset val="128"/>
    </font>
    <font>
      <b/>
      <u/>
      <sz val="10"/>
      <name val="Meiryo UI"/>
      <family val="3"/>
      <charset val="128"/>
    </font>
    <font>
      <sz val="12"/>
      <name val="Meiryo UI"/>
      <family val="3"/>
      <charset val="128"/>
    </font>
    <font>
      <b/>
      <sz val="18"/>
      <name val="Meiryo UI"/>
      <family val="3"/>
      <charset val="128"/>
    </font>
    <font>
      <sz val="9"/>
      <color rgb="FF0070C0"/>
      <name val="Meiryo UI"/>
      <family val="3"/>
      <charset val="128"/>
    </font>
    <font>
      <sz val="11"/>
      <color theme="1"/>
      <name val="Meiryo UI"/>
      <family val="3"/>
      <charset val="128"/>
    </font>
    <font>
      <sz val="11"/>
      <color rgb="FFFF0000"/>
      <name val="Meiryo UI"/>
      <family val="3"/>
      <charset val="128"/>
    </font>
    <font>
      <sz val="14"/>
      <name val="Meiryo UI"/>
      <family val="3"/>
      <charset val="128"/>
    </font>
    <font>
      <b/>
      <sz val="10"/>
      <color theme="1"/>
      <name val="Meiryo UI"/>
      <family val="3"/>
      <charset val="128"/>
    </font>
    <font>
      <sz val="9"/>
      <color theme="1"/>
      <name val="Meiryo UI"/>
      <family val="3"/>
      <charset val="128"/>
    </font>
    <font>
      <sz val="6"/>
      <name val="游ゴシック"/>
      <family val="3"/>
      <charset val="128"/>
      <scheme val="minor"/>
    </font>
    <font>
      <b/>
      <sz val="16"/>
      <name val="Meiryo UI"/>
      <family val="3"/>
      <charset val="128"/>
    </font>
    <font>
      <u/>
      <sz val="10"/>
      <name val="Meiryo UI"/>
      <family val="3"/>
      <charset val="128"/>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CC"/>
        <bgColor indexed="64"/>
      </patternFill>
    </fill>
  </fills>
  <borders count="89">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bottom/>
      <diagonal/>
    </border>
    <border>
      <left/>
      <right style="medium">
        <color indexed="64"/>
      </right>
      <top style="thin">
        <color indexed="64"/>
      </top>
      <bottom style="thin">
        <color indexed="64"/>
      </bottom>
      <diagonal/>
    </border>
    <border>
      <left/>
      <right/>
      <top/>
      <bottom style="hair">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style="medium">
        <color indexed="64"/>
      </left>
      <right style="thin">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style="thick">
        <color indexed="64"/>
      </top>
      <bottom/>
      <diagonal/>
    </border>
    <border>
      <left/>
      <right/>
      <top style="thick">
        <color indexed="64"/>
      </top>
      <bottom style="thin">
        <color indexed="64"/>
      </bottom>
      <diagonal/>
    </border>
    <border>
      <left/>
      <right/>
      <top style="thin">
        <color indexed="64"/>
      </top>
      <bottom style="thick">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dotted">
        <color indexed="64"/>
      </bottom>
      <diagonal/>
    </border>
    <border diagonalUp="1">
      <left style="medium">
        <color indexed="64"/>
      </left>
      <right/>
      <top style="medium">
        <color indexed="64"/>
      </top>
      <bottom/>
      <diagonal style="thin">
        <color indexed="64"/>
      </diagonal>
    </border>
    <border diagonalUp="1">
      <left/>
      <right/>
      <top style="medium">
        <color indexed="64"/>
      </top>
      <bottom/>
      <diagonal style="thin">
        <color indexed="64"/>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diagonalUp="1">
      <left style="medium">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medium">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medium">
        <color indexed="64"/>
      </right>
      <top/>
      <bottom/>
      <diagonal style="thin">
        <color indexed="64"/>
      </diagonal>
    </border>
    <border diagonalUp="1">
      <left style="thin">
        <color indexed="64"/>
      </left>
      <right/>
      <top/>
      <bottom style="thin">
        <color indexed="64"/>
      </bottom>
      <diagonal style="thin">
        <color indexed="64"/>
      </diagonal>
    </border>
    <border diagonalUp="1">
      <left/>
      <right style="medium">
        <color indexed="64"/>
      </right>
      <top/>
      <bottom style="thin">
        <color indexed="64"/>
      </bottom>
      <diagonal style="thin">
        <color indexed="64"/>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diagonalUp="1">
      <left style="thin">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medium">
        <color indexed="64"/>
      </right>
      <top/>
      <bottom style="medium">
        <color indexed="64"/>
      </bottom>
      <diagonal style="thin">
        <color indexed="64"/>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right style="thin">
        <color indexed="64"/>
      </right>
      <top style="thin">
        <color indexed="64"/>
      </top>
      <bottom/>
      <diagonal style="thin">
        <color indexed="64"/>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diagonalUp="1">
      <left/>
      <right style="thin">
        <color indexed="64"/>
      </right>
      <top/>
      <bottom style="medium">
        <color indexed="64"/>
      </bottom>
      <diagonal style="thin">
        <color indexed="64"/>
      </diagonal>
    </border>
    <border diagonalUp="1">
      <left style="medium">
        <color indexed="64"/>
      </left>
      <right style="thin">
        <color indexed="64"/>
      </right>
      <top style="medium">
        <color indexed="64"/>
      </top>
      <bottom style="thin">
        <color indexed="64"/>
      </bottom>
      <diagonal style="thin">
        <color indexed="64"/>
      </diagonal>
    </border>
    <border diagonalUp="1">
      <left style="thin">
        <color indexed="64"/>
      </left>
      <right style="thin">
        <color indexed="64"/>
      </right>
      <top style="medium">
        <color indexed="64"/>
      </top>
      <bottom style="thin">
        <color indexed="64"/>
      </bottom>
      <diagonal style="thin">
        <color indexed="64"/>
      </diagonal>
    </border>
    <border diagonalUp="1">
      <left style="medium">
        <color indexed="64"/>
      </left>
      <right style="thin">
        <color indexed="64"/>
      </right>
      <top style="thin">
        <color indexed="64"/>
      </top>
      <bottom style="thin">
        <color indexed="64"/>
      </bottom>
      <diagonal style="thin">
        <color indexed="64"/>
      </diagonal>
    </border>
  </borders>
  <cellStyleXfs count="7">
    <xf numFmtId="0" fontId="0" fillId="0" borderId="0"/>
    <xf numFmtId="0" fontId="1" fillId="0" borderId="0">
      <alignment vertical="center"/>
    </xf>
    <xf numFmtId="0" fontId="2" fillId="0" borderId="0"/>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cellStyleXfs>
  <cellXfs count="314">
    <xf numFmtId="0" fontId="0" fillId="0" borderId="0" xfId="0"/>
    <xf numFmtId="0" fontId="18" fillId="0" borderId="0" xfId="0" applyFont="1" applyAlignment="1" applyProtection="1">
      <alignment vertical="center"/>
      <protection locked="0"/>
    </xf>
    <xf numFmtId="0" fontId="6" fillId="0" borderId="0" xfId="0" applyFont="1" applyAlignment="1" applyProtection="1">
      <alignment vertical="center"/>
      <protection locked="0"/>
    </xf>
    <xf numFmtId="0" fontId="4" fillId="0" borderId="0" xfId="0" applyFont="1" applyAlignment="1" applyProtection="1">
      <alignment vertical="center"/>
      <protection locked="0"/>
    </xf>
    <xf numFmtId="0" fontId="5"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49" fontId="4" fillId="0" borderId="0" xfId="0" applyNumberFormat="1" applyFont="1" applyAlignment="1" applyProtection="1">
      <alignment vertical="center"/>
      <protection locked="0"/>
    </xf>
    <xf numFmtId="0" fontId="7" fillId="0" borderId="0" xfId="0" applyFont="1" applyAlignment="1" applyProtection="1">
      <alignment horizontal="center" vertical="center"/>
      <protection locked="0"/>
    </xf>
    <xf numFmtId="0" fontId="4" fillId="0" borderId="0" xfId="0" applyFont="1" applyAlignment="1" applyProtection="1">
      <alignment horizontal="right"/>
      <protection locked="0"/>
    </xf>
    <xf numFmtId="49" fontId="4" fillId="2" borderId="13" xfId="0" applyNumberFormat="1" applyFont="1" applyFill="1" applyBorder="1" applyAlignment="1" applyProtection="1">
      <alignment horizontal="left" vertical="top"/>
      <protection locked="0"/>
    </xf>
    <xf numFmtId="49" fontId="4" fillId="2" borderId="16" xfId="0" applyNumberFormat="1" applyFont="1" applyFill="1" applyBorder="1" applyAlignment="1" applyProtection="1">
      <alignment horizontal="left" vertical="top"/>
      <protection locked="0"/>
    </xf>
    <xf numFmtId="49" fontId="4" fillId="2" borderId="19" xfId="0" applyNumberFormat="1" applyFont="1" applyFill="1" applyBorder="1" applyAlignment="1" applyProtection="1">
      <alignment horizontal="left" vertical="top"/>
      <protection locked="0"/>
    </xf>
    <xf numFmtId="0" fontId="14" fillId="2" borderId="2" xfId="0" applyFont="1" applyFill="1" applyBorder="1" applyAlignment="1" applyProtection="1">
      <alignment horizontal="left" vertical="center"/>
      <protection locked="0"/>
    </xf>
    <xf numFmtId="0" fontId="5" fillId="2" borderId="10" xfId="0" applyFont="1" applyFill="1" applyBorder="1" applyAlignment="1" applyProtection="1">
      <alignment horizontal="left" vertical="center" wrapText="1"/>
      <protection locked="0"/>
    </xf>
    <xf numFmtId="0" fontId="5" fillId="2" borderId="10" xfId="0" applyFont="1" applyFill="1" applyBorder="1" applyAlignment="1" applyProtection="1">
      <alignment horizontal="left" vertical="center"/>
      <protection locked="0"/>
    </xf>
    <xf numFmtId="0" fontId="5" fillId="2" borderId="26" xfId="0" applyFont="1" applyFill="1" applyBorder="1" applyAlignment="1" applyProtection="1">
      <alignment horizontal="left" vertical="center"/>
      <protection locked="0"/>
    </xf>
    <xf numFmtId="49" fontId="4" fillId="2" borderId="37" xfId="0" applyNumberFormat="1" applyFont="1" applyFill="1" applyBorder="1" applyAlignment="1" applyProtection="1">
      <alignment vertical="top"/>
      <protection locked="0"/>
    </xf>
    <xf numFmtId="49" fontId="14" fillId="4" borderId="2" xfId="0" applyNumberFormat="1" applyFont="1" applyFill="1" applyBorder="1" applyAlignment="1" applyProtection="1">
      <alignment vertical="center"/>
      <protection locked="0"/>
    </xf>
    <xf numFmtId="49" fontId="14" fillId="4" borderId="10" xfId="0" applyNumberFormat="1" applyFont="1" applyFill="1" applyBorder="1" applyAlignment="1" applyProtection="1">
      <alignment vertical="center"/>
      <protection locked="0"/>
    </xf>
    <xf numFmtId="0" fontId="5" fillId="4" borderId="10" xfId="0" applyFont="1" applyFill="1" applyBorder="1" applyAlignment="1" applyProtection="1">
      <alignment horizontal="left" vertical="center"/>
      <protection locked="0"/>
    </xf>
    <xf numFmtId="0" fontId="4" fillId="4" borderId="10" xfId="0" applyFont="1" applyFill="1" applyBorder="1" applyAlignment="1" applyProtection="1">
      <alignment horizontal="left" vertical="center"/>
      <protection locked="0"/>
    </xf>
    <xf numFmtId="0" fontId="4" fillId="4" borderId="26" xfId="0" applyFont="1" applyFill="1" applyBorder="1" applyAlignment="1" applyProtection="1">
      <alignment horizontal="left" vertical="center"/>
      <protection locked="0"/>
    </xf>
    <xf numFmtId="49" fontId="14" fillId="4" borderId="0" xfId="0" applyNumberFormat="1" applyFont="1" applyFill="1" applyAlignment="1" applyProtection="1">
      <alignment vertical="center"/>
      <protection locked="0"/>
    </xf>
    <xf numFmtId="49" fontId="14" fillId="3" borderId="1" xfId="0" applyNumberFormat="1" applyFont="1" applyFill="1" applyBorder="1" applyAlignment="1" applyProtection="1">
      <alignment vertical="center"/>
      <protection locked="0"/>
    </xf>
    <xf numFmtId="0" fontId="5" fillId="3" borderId="0" xfId="0" applyFont="1" applyFill="1" applyAlignment="1" applyProtection="1">
      <alignment horizontal="left" vertical="center"/>
      <protection locked="0"/>
    </xf>
    <xf numFmtId="0" fontId="4" fillId="3" borderId="0" xfId="0" applyFont="1" applyFill="1" applyAlignment="1" applyProtection="1">
      <alignment horizontal="left" vertical="center"/>
      <protection locked="0"/>
    </xf>
    <xf numFmtId="0" fontId="4" fillId="3" borderId="21" xfId="0" applyFont="1" applyFill="1" applyBorder="1" applyAlignment="1" applyProtection="1">
      <alignment horizontal="left" vertical="center"/>
      <protection locked="0"/>
    </xf>
    <xf numFmtId="0" fontId="5" fillId="3" borderId="0" xfId="0" applyFont="1" applyFill="1" applyAlignment="1" applyProtection="1">
      <alignment vertical="center"/>
      <protection locked="0"/>
    </xf>
    <xf numFmtId="0" fontId="14" fillId="2" borderId="37" xfId="0" applyFont="1" applyFill="1" applyBorder="1" applyAlignment="1" applyProtection="1">
      <alignment vertical="top" textRotation="255"/>
      <protection locked="0"/>
    </xf>
    <xf numFmtId="49" fontId="14" fillId="4" borderId="6" xfId="0" applyNumberFormat="1" applyFont="1" applyFill="1" applyBorder="1" applyAlignment="1" applyProtection="1">
      <alignment vertical="center"/>
      <protection locked="0"/>
    </xf>
    <xf numFmtId="49" fontId="14" fillId="3" borderId="0" xfId="0" applyNumberFormat="1" applyFont="1" applyFill="1" applyAlignment="1" applyProtection="1">
      <alignment vertical="center"/>
      <protection locked="0"/>
    </xf>
    <xf numFmtId="0" fontId="11" fillId="0" borderId="0" xfId="0" applyFont="1" applyProtection="1">
      <protection locked="0"/>
    </xf>
    <xf numFmtId="0" fontId="5" fillId="0" borderId="0" xfId="0" applyFont="1" applyProtection="1">
      <protection locked="0"/>
    </xf>
    <xf numFmtId="0" fontId="11" fillId="3" borderId="27" xfId="0" applyFont="1" applyFill="1" applyBorder="1" applyProtection="1">
      <protection locked="0"/>
    </xf>
    <xf numFmtId="0" fontId="4" fillId="3" borderId="0" xfId="0" applyFont="1" applyFill="1" applyAlignment="1" applyProtection="1">
      <alignment horizontal="left"/>
      <protection locked="0"/>
    </xf>
    <xf numFmtId="0" fontId="11" fillId="3" borderId="0" xfId="0" applyFont="1" applyFill="1" applyProtection="1">
      <protection locked="0"/>
    </xf>
    <xf numFmtId="0" fontId="4" fillId="3" borderId="25" xfId="0" applyFont="1" applyFill="1" applyBorder="1" applyAlignment="1" applyProtection="1">
      <alignment horizontal="left" vertical="center"/>
      <protection locked="0"/>
    </xf>
    <xf numFmtId="0" fontId="5" fillId="0" borderId="0" xfId="0" applyFont="1" applyAlignment="1" applyProtection="1">
      <alignment vertical="center" shrinkToFit="1"/>
      <protection locked="0"/>
    </xf>
    <xf numFmtId="0" fontId="11" fillId="4" borderId="6" xfId="0" applyFont="1" applyFill="1" applyBorder="1" applyAlignment="1" applyProtection="1">
      <alignment vertical="center"/>
      <protection locked="0"/>
    </xf>
    <xf numFmtId="0" fontId="4" fillId="0" borderId="0" xfId="0" applyFont="1" applyAlignment="1" applyProtection="1">
      <alignment horizontal="left" vertical="center"/>
      <protection locked="0"/>
    </xf>
    <xf numFmtId="0" fontId="11" fillId="0" borderId="0" xfId="0" applyFont="1" applyAlignment="1" applyProtection="1">
      <alignment horizontal="left" vertical="center"/>
      <protection locked="0"/>
    </xf>
    <xf numFmtId="0" fontId="11" fillId="0" borderId="0" xfId="0" applyFont="1" applyAlignment="1" applyProtection="1">
      <alignment vertical="center"/>
      <protection locked="0"/>
    </xf>
    <xf numFmtId="0" fontId="4" fillId="0" borderId="21" xfId="0" applyFont="1" applyBorder="1" applyAlignment="1" applyProtection="1">
      <alignment vertical="center"/>
      <protection locked="0"/>
    </xf>
    <xf numFmtId="0" fontId="11" fillId="0" borderId="27" xfId="0" applyFont="1" applyBorder="1" applyProtection="1">
      <protection locked="0"/>
    </xf>
    <xf numFmtId="0" fontId="11" fillId="0" borderId="0" xfId="0" applyFont="1" applyAlignment="1" applyProtection="1">
      <alignment horizontal="left"/>
      <protection locked="0"/>
    </xf>
    <xf numFmtId="0" fontId="24" fillId="0" borderId="0" xfId="0" applyFont="1" applyProtection="1">
      <protection locked="0"/>
    </xf>
    <xf numFmtId="0" fontId="5" fillId="3" borderId="2" xfId="0" applyFont="1" applyFill="1" applyBorder="1" applyAlignment="1" applyProtection="1">
      <alignment horizontal="left" vertical="center"/>
      <protection locked="0"/>
    </xf>
    <xf numFmtId="0" fontId="4" fillId="3" borderId="35" xfId="0" applyFont="1" applyFill="1" applyBorder="1" applyAlignment="1" applyProtection="1">
      <alignment horizontal="left" vertical="center"/>
      <protection locked="0"/>
    </xf>
    <xf numFmtId="0" fontId="21" fillId="4" borderId="6" xfId="0" applyFont="1" applyFill="1" applyBorder="1" applyAlignment="1" applyProtection="1">
      <alignment vertical="center"/>
      <protection locked="0"/>
    </xf>
    <xf numFmtId="0" fontId="5" fillId="0" borderId="0" xfId="0" applyFont="1" applyAlignment="1" applyProtection="1">
      <alignment horizontal="left" vertical="center"/>
      <protection locked="0"/>
    </xf>
    <xf numFmtId="0" fontId="11" fillId="3" borderId="27" xfId="0" applyFont="1" applyFill="1" applyBorder="1" applyAlignment="1" applyProtection="1">
      <alignment horizontal="left"/>
      <protection locked="0"/>
    </xf>
    <xf numFmtId="0" fontId="5" fillId="0" borderId="0" xfId="0" applyFont="1" applyAlignment="1" applyProtection="1">
      <alignment shrinkToFit="1"/>
      <protection locked="0"/>
    </xf>
    <xf numFmtId="0" fontId="21" fillId="0" borderId="0" xfId="0" applyFont="1" applyAlignment="1" applyProtection="1">
      <alignment vertical="center"/>
      <protection locked="0"/>
    </xf>
    <xf numFmtId="0" fontId="11" fillId="0" borderId="21" xfId="0" applyFont="1" applyBorder="1" applyAlignment="1" applyProtection="1">
      <alignment vertical="center"/>
      <protection locked="0"/>
    </xf>
    <xf numFmtId="0" fontId="5" fillId="0" borderId="0" xfId="0" applyFont="1" applyAlignment="1" applyProtection="1">
      <alignment horizontal="center" vertical="center" shrinkToFit="1"/>
      <protection locked="0"/>
    </xf>
    <xf numFmtId="0" fontId="8" fillId="0" borderId="0" xfId="0" applyFont="1" applyAlignment="1" applyProtection="1">
      <alignment horizontal="left" vertical="top" wrapText="1"/>
      <protection locked="0"/>
    </xf>
    <xf numFmtId="0" fontId="9" fillId="0" borderId="0" xfId="0" applyFont="1" applyAlignment="1" applyProtection="1">
      <alignment vertical="center"/>
      <protection locked="0"/>
    </xf>
    <xf numFmtId="0" fontId="8" fillId="0" borderId="0" xfId="2" applyFont="1" applyAlignment="1" applyProtection="1">
      <alignment vertical="center" shrinkToFit="1"/>
      <protection locked="0"/>
    </xf>
    <xf numFmtId="0" fontId="4" fillId="0" borderId="0" xfId="0" applyFont="1" applyAlignment="1" applyProtection="1">
      <alignment horizontal="left"/>
      <protection locked="0"/>
    </xf>
    <xf numFmtId="0" fontId="20" fillId="0" borderId="0" xfId="0" applyFont="1" applyAlignment="1" applyProtection="1">
      <alignment vertical="top" wrapText="1"/>
      <protection locked="0"/>
    </xf>
    <xf numFmtId="0" fontId="24" fillId="0" borderId="0" xfId="0" applyFont="1" applyAlignment="1" applyProtection="1">
      <alignment horizontal="left" wrapText="1"/>
      <protection locked="0"/>
    </xf>
    <xf numFmtId="49" fontId="9" fillId="3" borderId="0" xfId="2" applyNumberFormat="1" applyFont="1" applyFill="1" applyAlignment="1" applyProtection="1">
      <alignment vertical="center" shrinkToFit="1"/>
      <protection locked="0"/>
    </xf>
    <xf numFmtId="0" fontId="4" fillId="3" borderId="0" xfId="0" applyFont="1" applyFill="1" applyAlignment="1" applyProtection="1">
      <alignment vertical="center"/>
      <protection locked="0"/>
    </xf>
    <xf numFmtId="0" fontId="12" fillId="0" borderId="0" xfId="0" applyFont="1" applyAlignment="1" applyProtection="1">
      <alignment vertical="top"/>
      <protection locked="0"/>
    </xf>
    <xf numFmtId="0" fontId="5" fillId="2" borderId="2" xfId="0" applyFont="1" applyFill="1" applyBorder="1" applyAlignment="1" applyProtection="1">
      <alignment horizontal="left" vertical="center" wrapText="1"/>
      <protection locked="0"/>
    </xf>
    <xf numFmtId="0" fontId="5" fillId="2" borderId="2"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14" fillId="4" borderId="1" xfId="6" applyFont="1" applyFill="1" applyBorder="1" applyAlignment="1" applyProtection="1">
      <alignment horizontal="left" vertical="center"/>
      <protection locked="0"/>
    </xf>
    <xf numFmtId="0" fontId="11" fillId="4" borderId="10" xfId="0" applyFont="1" applyFill="1" applyBorder="1" applyAlignment="1" applyProtection="1">
      <alignment vertical="center"/>
      <protection locked="0"/>
    </xf>
    <xf numFmtId="0" fontId="5" fillId="4" borderId="10" xfId="0" applyFont="1" applyFill="1" applyBorder="1" applyAlignment="1" applyProtection="1">
      <alignment horizontal="center" vertical="center" shrinkToFit="1"/>
      <protection locked="0"/>
    </xf>
    <xf numFmtId="0" fontId="5" fillId="4" borderId="10" xfId="0" applyFont="1" applyFill="1" applyBorder="1" applyAlignment="1" applyProtection="1">
      <alignment horizontal="center" vertical="center"/>
      <protection locked="0"/>
    </xf>
    <xf numFmtId="0" fontId="5" fillId="4" borderId="10" xfId="0" applyFont="1" applyFill="1" applyBorder="1" applyAlignment="1" applyProtection="1">
      <alignment vertical="center" shrinkToFit="1"/>
      <protection locked="0"/>
    </xf>
    <xf numFmtId="0" fontId="5" fillId="4" borderId="10" xfId="0" applyFont="1" applyFill="1" applyBorder="1" applyAlignment="1" applyProtection="1">
      <alignment horizontal="left"/>
      <protection locked="0"/>
    </xf>
    <xf numFmtId="0" fontId="5" fillId="4" borderId="10" xfId="0" applyFont="1" applyFill="1" applyBorder="1" applyAlignment="1" applyProtection="1">
      <alignment vertical="center"/>
      <protection locked="0"/>
    </xf>
    <xf numFmtId="0" fontId="21" fillId="4" borderId="10" xfId="0" applyFont="1" applyFill="1" applyBorder="1" applyAlignment="1" applyProtection="1">
      <alignment vertical="center"/>
      <protection locked="0"/>
    </xf>
    <xf numFmtId="0" fontId="21" fillId="4" borderId="26" xfId="0" applyFont="1" applyFill="1" applyBorder="1" applyAlignment="1" applyProtection="1">
      <alignment vertical="center"/>
      <protection locked="0"/>
    </xf>
    <xf numFmtId="0" fontId="21" fillId="4" borderId="3" xfId="0" applyFont="1" applyFill="1" applyBorder="1" applyAlignment="1" applyProtection="1">
      <alignment vertical="center"/>
      <protection locked="0"/>
    </xf>
    <xf numFmtId="0" fontId="21" fillId="0" borderId="21" xfId="0" applyFont="1" applyBorder="1" applyAlignment="1" applyProtection="1">
      <alignment vertical="center"/>
      <protection locked="0"/>
    </xf>
    <xf numFmtId="0" fontId="14" fillId="4" borderId="4" xfId="6" applyFont="1" applyFill="1" applyBorder="1" applyAlignment="1" applyProtection="1">
      <alignment horizontal="left" vertical="center"/>
      <protection locked="0"/>
    </xf>
    <xf numFmtId="0" fontId="11" fillId="3" borderId="1" xfId="0" applyFont="1" applyFill="1" applyBorder="1" applyAlignment="1" applyProtection="1">
      <alignment vertical="center"/>
      <protection locked="0"/>
    </xf>
    <xf numFmtId="0" fontId="5" fillId="3" borderId="2" xfId="0" applyFont="1" applyFill="1" applyBorder="1" applyAlignment="1" applyProtection="1">
      <alignment horizontal="center" vertical="center" shrinkToFit="1"/>
      <protection locked="0"/>
    </xf>
    <xf numFmtId="0" fontId="5" fillId="3" borderId="2" xfId="0" applyFont="1" applyFill="1" applyBorder="1" applyAlignment="1" applyProtection="1">
      <alignment horizontal="center" vertical="center"/>
      <protection locked="0"/>
    </xf>
    <xf numFmtId="0" fontId="5" fillId="3" borderId="2" xfId="0" applyFont="1" applyFill="1" applyBorder="1" applyAlignment="1" applyProtection="1">
      <alignment vertical="center" shrinkToFit="1"/>
      <protection locked="0"/>
    </xf>
    <xf numFmtId="0" fontId="5" fillId="3" borderId="2" xfId="0" applyFont="1" applyFill="1" applyBorder="1" applyAlignment="1" applyProtection="1">
      <alignment horizontal="left"/>
      <protection locked="0"/>
    </xf>
    <xf numFmtId="0" fontId="5" fillId="3" borderId="2" xfId="0" applyFont="1" applyFill="1" applyBorder="1" applyAlignment="1" applyProtection="1">
      <alignment vertical="center"/>
      <protection locked="0"/>
    </xf>
    <xf numFmtId="0" fontId="21" fillId="3" borderId="2" xfId="0" applyFont="1" applyFill="1" applyBorder="1" applyAlignment="1" applyProtection="1">
      <alignment vertical="center"/>
      <protection locked="0"/>
    </xf>
    <xf numFmtId="0" fontId="21" fillId="3" borderId="35" xfId="0" applyFont="1" applyFill="1" applyBorder="1" applyAlignment="1" applyProtection="1">
      <alignment vertical="center"/>
      <protection locked="0"/>
    </xf>
    <xf numFmtId="38" fontId="11" fillId="0" borderId="0" xfId="4" applyFont="1" applyFill="1" applyBorder="1" applyAlignment="1" applyProtection="1">
      <alignment vertical="center"/>
      <protection locked="0"/>
    </xf>
    <xf numFmtId="0" fontId="10" fillId="3" borderId="4" xfId="0" applyFont="1" applyFill="1" applyBorder="1" applyAlignment="1" applyProtection="1">
      <alignment vertical="center"/>
      <protection locked="0"/>
    </xf>
    <xf numFmtId="0" fontId="22" fillId="3" borderId="0" xfId="0" applyFont="1" applyFill="1" applyAlignment="1" applyProtection="1">
      <alignment horizontal="center" vertical="center" shrinkToFit="1"/>
      <protection locked="0"/>
    </xf>
    <xf numFmtId="0" fontId="22" fillId="3" borderId="0" xfId="0" applyFont="1" applyFill="1" applyAlignment="1" applyProtection="1">
      <alignment horizontal="center" vertical="center"/>
      <protection locked="0"/>
    </xf>
    <xf numFmtId="0" fontId="22" fillId="3" borderId="0" xfId="0" applyFont="1" applyFill="1" applyAlignment="1" applyProtection="1">
      <alignment vertical="center" shrinkToFit="1"/>
      <protection locked="0"/>
    </xf>
    <xf numFmtId="0" fontId="22" fillId="3" borderId="0" xfId="0" applyFont="1" applyFill="1" applyAlignment="1" applyProtection="1">
      <alignment horizontal="left"/>
      <protection locked="0"/>
    </xf>
    <xf numFmtId="0" fontId="22" fillId="3" borderId="0" xfId="0" applyFont="1" applyFill="1" applyAlignment="1" applyProtection="1">
      <alignment horizontal="left" vertical="center"/>
      <protection locked="0"/>
    </xf>
    <xf numFmtId="0" fontId="22" fillId="3" borderId="0" xfId="0" applyFont="1" applyFill="1" applyAlignment="1" applyProtection="1">
      <alignment vertical="center"/>
      <protection locked="0"/>
    </xf>
    <xf numFmtId="0" fontId="22" fillId="3" borderId="21" xfId="0" applyFont="1" applyFill="1" applyBorder="1" applyAlignment="1" applyProtection="1">
      <alignment vertical="center"/>
      <protection locked="0"/>
    </xf>
    <xf numFmtId="0" fontId="4" fillId="3" borderId="27" xfId="0" applyFont="1" applyFill="1" applyBorder="1" applyAlignment="1" applyProtection="1">
      <alignment horizontal="left"/>
      <protection locked="0"/>
    </xf>
    <xf numFmtId="0" fontId="11" fillId="4" borderId="3" xfId="0" applyFont="1" applyFill="1" applyBorder="1" applyAlignment="1" applyProtection="1">
      <alignment vertical="center"/>
      <protection locked="0"/>
    </xf>
    <xf numFmtId="0" fontId="11" fillId="4" borderId="4" xfId="0" applyFont="1" applyFill="1" applyBorder="1" applyAlignment="1" applyProtection="1">
      <alignment vertical="center"/>
      <protection locked="0"/>
    </xf>
    <xf numFmtId="0" fontId="5" fillId="0" borderId="4" xfId="0" applyFont="1" applyBorder="1" applyAlignment="1" applyProtection="1">
      <alignment horizontal="left" vertical="center"/>
      <protection locked="0"/>
    </xf>
    <xf numFmtId="0" fontId="12" fillId="0" borderId="0" xfId="0" applyFont="1" applyAlignment="1" applyProtection="1">
      <alignment horizontal="center" vertical="center" shrinkToFit="1"/>
      <protection locked="0"/>
    </xf>
    <xf numFmtId="0" fontId="11" fillId="4" borderId="9" xfId="0" applyFont="1" applyFill="1" applyBorder="1" applyAlignment="1" applyProtection="1">
      <alignment vertical="center"/>
      <protection locked="0"/>
    </xf>
    <xf numFmtId="0" fontId="14" fillId="4" borderId="0" xfId="0" applyFont="1" applyFill="1" applyAlignment="1" applyProtection="1">
      <alignment horizontal="left" vertical="center"/>
      <protection locked="0"/>
    </xf>
    <xf numFmtId="0" fontId="11" fillId="4" borderId="10" xfId="0" applyFont="1" applyFill="1" applyBorder="1" applyProtection="1">
      <protection locked="0"/>
    </xf>
    <xf numFmtId="0" fontId="8" fillId="4" borderId="10" xfId="2" applyFont="1" applyFill="1" applyBorder="1" applyAlignment="1" applyProtection="1">
      <alignment vertical="center" shrinkToFit="1"/>
      <protection locked="0"/>
    </xf>
    <xf numFmtId="0" fontId="4" fillId="4" borderId="10" xfId="0" applyFont="1" applyFill="1" applyBorder="1" applyAlignment="1" applyProtection="1">
      <alignment vertical="center"/>
      <protection locked="0"/>
    </xf>
    <xf numFmtId="0" fontId="4" fillId="4" borderId="10" xfId="0" applyFont="1" applyFill="1" applyBorder="1" applyAlignment="1" applyProtection="1">
      <alignment horizontal="left"/>
      <protection locked="0"/>
    </xf>
    <xf numFmtId="0" fontId="4" fillId="4" borderId="26" xfId="0" applyFont="1" applyFill="1" applyBorder="1" applyAlignment="1" applyProtection="1">
      <alignment vertical="center"/>
      <protection locked="0"/>
    </xf>
    <xf numFmtId="0" fontId="14" fillId="2" borderId="22" xfId="0" applyFont="1" applyFill="1" applyBorder="1" applyAlignment="1" applyProtection="1">
      <alignment vertical="top" textRotation="255"/>
      <protection locked="0"/>
    </xf>
    <xf numFmtId="0" fontId="11" fillId="4" borderId="31" xfId="0" applyFont="1" applyFill="1" applyBorder="1" applyAlignment="1" applyProtection="1">
      <alignment vertical="center"/>
      <protection locked="0"/>
    </xf>
    <xf numFmtId="0" fontId="5" fillId="0" borderId="23" xfId="0" applyFont="1" applyBorder="1" applyAlignment="1" applyProtection="1">
      <alignment horizontal="left" vertical="center"/>
      <protection locked="0"/>
    </xf>
    <xf numFmtId="0" fontId="5" fillId="0" borderId="23" xfId="0" applyFont="1" applyBorder="1" applyAlignment="1" applyProtection="1">
      <alignment horizontal="center" vertical="center" shrinkToFit="1"/>
      <protection locked="0"/>
    </xf>
    <xf numFmtId="0" fontId="5" fillId="0" borderId="23" xfId="0" applyFont="1" applyBorder="1" applyAlignment="1" applyProtection="1">
      <alignment horizontal="center" vertical="center"/>
      <protection locked="0"/>
    </xf>
    <xf numFmtId="0" fontId="5" fillId="0" borderId="23" xfId="0" applyFont="1" applyBorder="1" applyAlignment="1" applyProtection="1">
      <alignment vertical="center" shrinkToFit="1"/>
      <protection locked="0"/>
    </xf>
    <xf numFmtId="0" fontId="12" fillId="0" borderId="23" xfId="0" applyFont="1" applyBorder="1" applyAlignment="1" applyProtection="1">
      <alignment horizontal="center" vertical="center" shrinkToFit="1"/>
      <protection locked="0"/>
    </xf>
    <xf numFmtId="0" fontId="8" fillId="0" borderId="23" xfId="2" applyFont="1" applyBorder="1" applyAlignment="1" applyProtection="1">
      <alignment vertical="center" shrinkToFit="1"/>
      <protection locked="0"/>
    </xf>
    <xf numFmtId="0" fontId="4" fillId="0" borderId="23" xfId="0" applyFont="1" applyBorder="1" applyAlignment="1" applyProtection="1">
      <alignment vertical="center"/>
      <protection locked="0"/>
    </xf>
    <xf numFmtId="0" fontId="4" fillId="0" borderId="23" xfId="0" applyFont="1" applyBorder="1" applyAlignment="1" applyProtection="1">
      <alignment horizontal="left"/>
      <protection locked="0"/>
    </xf>
    <xf numFmtId="0" fontId="4" fillId="0" borderId="24" xfId="0" applyFont="1" applyBorder="1" applyAlignment="1" applyProtection="1">
      <alignment vertical="center"/>
      <protection locked="0"/>
    </xf>
    <xf numFmtId="0" fontId="14" fillId="0" borderId="0" xfId="0" applyFont="1" applyAlignment="1" applyProtection="1">
      <alignment horizontal="left" vertical="top"/>
      <protection locked="0"/>
    </xf>
    <xf numFmtId="49" fontId="4" fillId="0" borderId="0" xfId="2" applyNumberFormat="1" applyFont="1" applyAlignment="1" applyProtection="1">
      <alignment horizontal="center" vertical="center" wrapText="1"/>
      <protection locked="0"/>
    </xf>
    <xf numFmtId="49" fontId="4" fillId="0" borderId="0" xfId="2" applyNumberFormat="1" applyFont="1" applyAlignment="1" applyProtection="1">
      <alignment vertical="center" wrapText="1"/>
      <protection locked="0"/>
    </xf>
    <xf numFmtId="9" fontId="4" fillId="0" borderId="0" xfId="2" applyNumberFormat="1" applyFont="1" applyAlignment="1" applyProtection="1">
      <alignment vertical="center" wrapText="1"/>
      <protection locked="0"/>
    </xf>
    <xf numFmtId="0" fontId="9" fillId="0" borderId="0" xfId="0" applyFont="1" applyAlignment="1" applyProtection="1">
      <alignment horizontal="left" vertical="top" wrapText="1"/>
      <protection locked="0"/>
    </xf>
    <xf numFmtId="0" fontId="14" fillId="0" borderId="0" xfId="0" applyFont="1" applyAlignment="1" applyProtection="1">
      <alignment horizontal="left" vertical="center"/>
      <protection locked="0"/>
    </xf>
    <xf numFmtId="0" fontId="6" fillId="0" borderId="0" xfId="6" applyFont="1" applyProtection="1">
      <alignment vertical="center"/>
      <protection locked="0"/>
    </xf>
    <xf numFmtId="9" fontId="14" fillId="0" borderId="20" xfId="0" applyNumberFormat="1" applyFont="1" applyBorder="1" applyAlignment="1" applyProtection="1">
      <alignment vertical="center" wrapText="1"/>
      <protection locked="0"/>
    </xf>
    <xf numFmtId="9" fontId="14" fillId="0" borderId="0" xfId="0" applyNumberFormat="1" applyFont="1" applyAlignment="1" applyProtection="1">
      <alignment vertical="center" wrapText="1"/>
      <protection locked="0"/>
    </xf>
    <xf numFmtId="0" fontId="4" fillId="0" borderId="0" xfId="0" applyFont="1" applyAlignment="1" applyProtection="1">
      <alignment horizontal="left" vertical="center" wrapText="1"/>
      <protection locked="0"/>
    </xf>
    <xf numFmtId="0" fontId="4" fillId="0" borderId="20" xfId="0" applyFont="1" applyBorder="1" applyAlignment="1" applyProtection="1">
      <alignment vertical="center"/>
      <protection locked="0"/>
    </xf>
    <xf numFmtId="0" fontId="13" fillId="0" borderId="0" xfId="0" applyFont="1" applyAlignment="1" applyProtection="1">
      <alignment vertical="center"/>
      <protection locked="0"/>
    </xf>
    <xf numFmtId="0" fontId="15" fillId="0" borderId="0" xfId="0" applyFont="1" applyAlignment="1" applyProtection="1">
      <alignment horizontal="left" vertical="center" wrapText="1"/>
      <protection locked="0"/>
    </xf>
    <xf numFmtId="49" fontId="9" fillId="0" borderId="0" xfId="0" applyNumberFormat="1" applyFont="1" applyAlignment="1" applyProtection="1">
      <alignment vertical="center"/>
      <protection locked="0"/>
    </xf>
    <xf numFmtId="49" fontId="4" fillId="0" borderId="0" xfId="0" applyNumberFormat="1" applyFont="1" applyAlignment="1" applyProtection="1">
      <alignment horizontal="left" vertical="top"/>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protection locked="0"/>
    </xf>
    <xf numFmtId="49" fontId="4" fillId="0" borderId="0" xfId="0" applyNumberFormat="1" applyFont="1" applyAlignment="1" applyProtection="1">
      <alignment vertical="top" wrapText="1"/>
      <protection locked="0"/>
    </xf>
    <xf numFmtId="0" fontId="4" fillId="0" borderId="0" xfId="0" applyFont="1" applyAlignment="1" applyProtection="1">
      <alignment vertical="top" wrapText="1"/>
      <protection locked="0"/>
    </xf>
    <xf numFmtId="49" fontId="4" fillId="0" borderId="0" xfId="0" applyNumberFormat="1" applyFont="1" applyAlignment="1" applyProtection="1">
      <alignment horizontal="right" vertical="top" wrapText="1"/>
      <protection locked="0"/>
    </xf>
    <xf numFmtId="49" fontId="4" fillId="0" borderId="0" xfId="0" applyNumberFormat="1" applyFont="1" applyAlignment="1" applyProtection="1">
      <alignment vertical="top"/>
      <protection locked="0"/>
    </xf>
    <xf numFmtId="0" fontId="4" fillId="0" borderId="0" xfId="0" applyFont="1" applyAlignment="1" applyProtection="1">
      <alignment horizontal="right" vertical="top"/>
      <protection locked="0"/>
    </xf>
    <xf numFmtId="0" fontId="4" fillId="0" borderId="0" xfId="0" applyFont="1" applyAlignment="1" applyProtection="1">
      <alignment horizontal="left" vertical="top"/>
      <protection locked="0"/>
    </xf>
    <xf numFmtId="49" fontId="4" fillId="3" borderId="0" xfId="0" applyNumberFormat="1" applyFont="1" applyFill="1" applyAlignment="1" applyProtection="1">
      <alignment vertical="top"/>
      <protection locked="0"/>
    </xf>
    <xf numFmtId="0" fontId="16" fillId="0" borderId="0" xfId="0" applyFont="1" applyAlignment="1" applyProtection="1">
      <alignment vertical="center"/>
      <protection locked="0"/>
    </xf>
    <xf numFmtId="0" fontId="4" fillId="3" borderId="0" xfId="0" applyFont="1" applyFill="1" applyAlignment="1" applyProtection="1">
      <alignment vertical="top"/>
      <protection locked="0"/>
    </xf>
    <xf numFmtId="0" fontId="4" fillId="0" borderId="47" xfId="0" applyFont="1" applyBorder="1" applyAlignment="1" applyProtection="1">
      <alignment horizontal="left" vertical="top"/>
      <protection locked="0"/>
    </xf>
    <xf numFmtId="49" fontId="9" fillId="0" borderId="0" xfId="0" applyNumberFormat="1" applyFont="1" applyAlignment="1" applyProtection="1">
      <alignment vertical="top"/>
      <protection locked="0"/>
    </xf>
    <xf numFmtId="0" fontId="14" fillId="2" borderId="14"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15" xfId="0" applyFont="1" applyFill="1" applyBorder="1" applyAlignment="1" applyProtection="1">
      <alignment horizontal="left" vertical="center" wrapText="1"/>
      <protection locked="0"/>
    </xf>
    <xf numFmtId="0" fontId="5" fillId="7" borderId="16" xfId="0" applyFont="1" applyFill="1" applyBorder="1" applyAlignment="1" applyProtection="1">
      <alignment horizontal="center" vertical="center"/>
      <protection locked="0"/>
    </xf>
    <xf numFmtId="0" fontId="5" fillId="7" borderId="14" xfId="0" applyFont="1" applyFill="1" applyBorder="1" applyAlignment="1" applyProtection="1">
      <alignment horizontal="center" vertical="center"/>
      <protection locked="0"/>
    </xf>
    <xf numFmtId="49" fontId="14" fillId="2" borderId="14" xfId="0" applyNumberFormat="1" applyFont="1" applyFill="1" applyBorder="1" applyAlignment="1" applyProtection="1">
      <alignment horizontal="left" vertical="center" wrapText="1"/>
      <protection locked="0"/>
    </xf>
    <xf numFmtId="49" fontId="5" fillId="7" borderId="16" xfId="0" applyNumberFormat="1" applyFont="1" applyFill="1" applyBorder="1" applyAlignment="1" applyProtection="1">
      <alignment vertical="center"/>
      <protection locked="0"/>
    </xf>
    <xf numFmtId="49" fontId="5" fillId="7" borderId="14" xfId="0" applyNumberFormat="1" applyFont="1" applyFill="1" applyBorder="1" applyAlignment="1" applyProtection="1">
      <alignment vertical="center"/>
      <protection locked="0"/>
    </xf>
    <xf numFmtId="49" fontId="5" fillId="7" borderId="17" xfId="0" applyNumberFormat="1" applyFont="1" applyFill="1" applyBorder="1" applyAlignment="1" applyProtection="1">
      <alignment vertical="center"/>
      <protection locked="0"/>
    </xf>
    <xf numFmtId="0" fontId="23" fillId="0" borderId="0" xfId="0" applyFont="1" applyAlignment="1" applyProtection="1">
      <alignment horizontal="center" vertical="center"/>
      <protection locked="0"/>
    </xf>
    <xf numFmtId="0" fontId="5" fillId="7"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horizontal="center" vertical="center"/>
      <protection locked="0"/>
    </xf>
    <xf numFmtId="38" fontId="5" fillId="7" borderId="28" xfId="4" applyFont="1" applyFill="1" applyBorder="1" applyAlignment="1" applyProtection="1">
      <alignment horizontal="center" vertical="center" shrinkToFit="1"/>
      <protection locked="0"/>
    </xf>
    <xf numFmtId="38" fontId="5" fillId="7" borderId="29" xfId="4" applyFont="1" applyFill="1" applyBorder="1" applyAlignment="1" applyProtection="1">
      <alignment horizontal="center" vertical="center" shrinkToFit="1"/>
      <protection locked="0"/>
    </xf>
    <xf numFmtId="38" fontId="5" fillId="7" borderId="30" xfId="4" applyFont="1" applyFill="1" applyBorder="1" applyAlignment="1" applyProtection="1">
      <alignment horizontal="center" vertical="center" shrinkToFit="1"/>
      <protection locked="0"/>
    </xf>
    <xf numFmtId="0" fontId="5" fillId="7" borderId="28" xfId="0" applyFont="1" applyFill="1" applyBorder="1" applyAlignment="1" applyProtection="1">
      <alignment horizontal="center" vertical="center" shrinkToFit="1"/>
      <protection locked="0"/>
    </xf>
    <xf numFmtId="0" fontId="5" fillId="7" borderId="29" xfId="0" applyFont="1" applyFill="1" applyBorder="1" applyAlignment="1" applyProtection="1">
      <alignment horizontal="center" vertical="center" shrinkToFit="1"/>
      <protection locked="0"/>
    </xf>
    <xf numFmtId="0" fontId="5" fillId="7" borderId="30" xfId="0" applyFont="1" applyFill="1" applyBorder="1" applyAlignment="1" applyProtection="1">
      <alignment horizontal="center" vertical="center" shrinkToFit="1"/>
      <protection locked="0"/>
    </xf>
    <xf numFmtId="38" fontId="5" fillId="6" borderId="38" xfId="4" applyFont="1" applyFill="1" applyBorder="1" applyAlignment="1" applyProtection="1">
      <alignment horizontal="center" vertical="center" shrinkToFit="1"/>
    </xf>
    <xf numFmtId="38" fontId="5" fillId="6" borderId="39" xfId="4" applyFont="1" applyFill="1" applyBorder="1" applyAlignment="1" applyProtection="1">
      <alignment horizontal="center" vertical="center" shrinkToFit="1"/>
    </xf>
    <xf numFmtId="38" fontId="5" fillId="6" borderId="40" xfId="4" applyFont="1" applyFill="1" applyBorder="1" applyAlignment="1" applyProtection="1">
      <alignment horizontal="center" vertical="center" shrinkToFit="1"/>
    </xf>
    <xf numFmtId="0" fontId="8" fillId="0" borderId="0" xfId="2" applyFont="1" applyAlignment="1" applyProtection="1">
      <alignment horizontal="left" vertical="top" wrapText="1"/>
      <protection locked="0"/>
    </xf>
    <xf numFmtId="0" fontId="12" fillId="0" borderId="43" xfId="0" applyFont="1" applyBorder="1" applyAlignment="1" applyProtection="1">
      <alignment horizontal="center" vertical="top" shrinkToFit="1"/>
      <protection locked="0"/>
    </xf>
    <xf numFmtId="0" fontId="14" fillId="0" borderId="58" xfId="0" applyFont="1" applyBorder="1" applyAlignment="1" applyProtection="1">
      <alignment horizontal="center" vertical="center" wrapText="1"/>
      <protection locked="0"/>
    </xf>
    <xf numFmtId="0" fontId="14" fillId="0" borderId="59" xfId="0" applyFont="1" applyBorder="1" applyAlignment="1" applyProtection="1">
      <alignment horizontal="center" vertical="center" wrapText="1"/>
      <protection locked="0"/>
    </xf>
    <xf numFmtId="0" fontId="14" fillId="0" borderId="60" xfId="0" applyFont="1" applyBorder="1" applyAlignment="1" applyProtection="1">
      <alignment horizontal="center" vertical="center" wrapText="1"/>
      <protection locked="0"/>
    </xf>
    <xf numFmtId="0" fontId="11" fillId="3" borderId="27" xfId="0" applyFont="1" applyFill="1" applyBorder="1" applyAlignment="1" applyProtection="1">
      <alignment horizontal="left"/>
      <protection locked="0"/>
    </xf>
    <xf numFmtId="0" fontId="24" fillId="0" borderId="0" xfId="0" applyFont="1" applyAlignment="1" applyProtection="1">
      <alignment horizontal="left" wrapText="1"/>
      <protection locked="0"/>
    </xf>
    <xf numFmtId="0" fontId="11" fillId="0" borderId="27" xfId="0" applyFont="1" applyBorder="1" applyAlignment="1" applyProtection="1">
      <alignment horizontal="left" wrapText="1"/>
      <protection locked="0"/>
    </xf>
    <xf numFmtId="0" fontId="24" fillId="0" borderId="41" xfId="0" applyFont="1" applyBorder="1" applyAlignment="1" applyProtection="1">
      <alignment horizontal="left"/>
      <protection locked="0"/>
    </xf>
    <xf numFmtId="0" fontId="11" fillId="0" borderId="0" xfId="0" applyFont="1" applyAlignment="1" applyProtection="1">
      <alignment horizontal="left" wrapText="1"/>
      <protection locked="0"/>
    </xf>
    <xf numFmtId="0" fontId="8" fillId="0" borderId="61" xfId="0" applyFont="1" applyBorder="1" applyAlignment="1" applyProtection="1">
      <alignment horizontal="left" vertical="center" wrapText="1" shrinkToFit="1"/>
      <protection locked="0"/>
    </xf>
    <xf numFmtId="0" fontId="8" fillId="0" borderId="33" xfId="0" applyFont="1" applyBorder="1" applyAlignment="1" applyProtection="1">
      <alignment horizontal="left" vertical="top" wrapText="1"/>
      <protection locked="0"/>
    </xf>
    <xf numFmtId="0" fontId="14" fillId="2" borderId="82" xfId="0" applyFont="1" applyFill="1" applyBorder="1" applyAlignment="1" applyProtection="1">
      <alignment horizontal="center" vertical="center" wrapText="1"/>
      <protection locked="0"/>
    </xf>
    <xf numFmtId="0" fontId="14" fillId="2" borderId="78" xfId="0" applyFont="1" applyFill="1" applyBorder="1" applyAlignment="1" applyProtection="1">
      <alignment horizontal="center" vertical="center" wrapText="1"/>
      <protection locked="0"/>
    </xf>
    <xf numFmtId="0" fontId="14" fillId="2" borderId="83" xfId="0" applyFont="1" applyFill="1" applyBorder="1" applyAlignment="1" applyProtection="1">
      <alignment horizontal="center" vertical="center" wrapText="1"/>
      <protection locked="0"/>
    </xf>
    <xf numFmtId="0" fontId="14" fillId="2" borderId="84" xfId="0" applyFont="1" applyFill="1" applyBorder="1" applyAlignment="1" applyProtection="1">
      <alignment horizontal="center" vertical="center" wrapText="1"/>
      <protection locked="0"/>
    </xf>
    <xf numFmtId="0" fontId="14" fillId="0" borderId="32" xfId="0" applyFont="1" applyBorder="1" applyAlignment="1" applyProtection="1">
      <alignment horizontal="center" vertical="center" wrapText="1"/>
      <protection locked="0"/>
    </xf>
    <xf numFmtId="0" fontId="14" fillId="0" borderId="33" xfId="0" applyFont="1" applyBorder="1" applyAlignment="1" applyProtection="1">
      <alignment horizontal="center" vertical="center" wrapText="1"/>
      <protection locked="0"/>
    </xf>
    <xf numFmtId="0" fontId="14" fillId="0" borderId="34" xfId="0" applyFont="1" applyBorder="1" applyAlignment="1" applyProtection="1">
      <alignment horizontal="center" vertical="center" wrapText="1"/>
      <protection locked="0"/>
    </xf>
    <xf numFmtId="0" fontId="12" fillId="0" borderId="42" xfId="0" applyFont="1" applyBorder="1" applyAlignment="1" applyProtection="1">
      <alignment horizontal="center" vertical="top" shrinkToFit="1"/>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horizontal="right" vertical="top"/>
      <protection locked="0"/>
    </xf>
    <xf numFmtId="0" fontId="14" fillId="0" borderId="19" xfId="0" applyFont="1" applyBorder="1" applyAlignment="1" applyProtection="1">
      <alignment horizontal="left" vertical="center"/>
      <protection locked="0"/>
    </xf>
    <xf numFmtId="0" fontId="14" fillId="0" borderId="2" xfId="0" applyFont="1" applyBorder="1" applyAlignment="1" applyProtection="1">
      <alignment horizontal="left" vertical="center"/>
      <protection locked="0"/>
    </xf>
    <xf numFmtId="0" fontId="14" fillId="0" borderId="5" xfId="0" applyFont="1" applyBorder="1" applyAlignment="1" applyProtection="1">
      <alignment horizontal="left" vertical="center"/>
      <protection locked="0"/>
    </xf>
    <xf numFmtId="0" fontId="14" fillId="0" borderId="22" xfId="0" applyFont="1" applyBorder="1" applyAlignment="1" applyProtection="1">
      <alignment horizontal="left" vertical="center"/>
      <protection locked="0"/>
    </xf>
    <xf numFmtId="0" fontId="14" fillId="0" borderId="23" xfId="0" applyFont="1" applyBorder="1" applyAlignment="1" applyProtection="1">
      <alignment horizontal="left" vertical="center"/>
      <protection locked="0"/>
    </xf>
    <xf numFmtId="0" fontId="14" fillId="0" borderId="36" xfId="0" applyFont="1" applyBorder="1" applyAlignment="1" applyProtection="1">
      <alignment horizontal="left" vertical="center"/>
      <protection locked="0"/>
    </xf>
    <xf numFmtId="0" fontId="14" fillId="0" borderId="1" xfId="0" applyFont="1" applyBorder="1" applyAlignment="1" applyProtection="1">
      <alignment horizontal="left" vertical="center" wrapText="1"/>
      <protection locked="0"/>
    </xf>
    <xf numFmtId="0" fontId="14" fillId="0" borderId="2" xfId="0" applyFont="1" applyBorder="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4" fillId="0" borderId="7" xfId="0" applyFont="1" applyBorder="1" applyAlignment="1" applyProtection="1">
      <alignment horizontal="left" vertical="center" wrapText="1"/>
      <protection locked="0"/>
    </xf>
    <xf numFmtId="0" fontId="14" fillId="0" borderId="8" xfId="0" applyFont="1" applyBorder="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14" fillId="2" borderId="50" xfId="0" applyFont="1" applyFill="1" applyBorder="1" applyAlignment="1" applyProtection="1">
      <alignment horizontal="center" vertical="center" wrapText="1"/>
      <protection locked="0"/>
    </xf>
    <xf numFmtId="0" fontId="14" fillId="2" borderId="51" xfId="0" applyFont="1" applyFill="1" applyBorder="1" applyAlignment="1" applyProtection="1">
      <alignment horizontal="center" vertical="center" wrapText="1"/>
      <protection locked="0"/>
    </xf>
    <xf numFmtId="0" fontId="14" fillId="2" borderId="55" xfId="0" applyFont="1" applyFill="1" applyBorder="1" applyAlignment="1" applyProtection="1">
      <alignment horizontal="center" vertical="center" wrapText="1"/>
      <protection locked="0"/>
    </xf>
    <xf numFmtId="0" fontId="14" fillId="2" borderId="56" xfId="0" applyFont="1" applyFill="1" applyBorder="1" applyAlignment="1" applyProtection="1">
      <alignment horizontal="center" vertical="center" wrapText="1"/>
      <protection locked="0"/>
    </xf>
    <xf numFmtId="0" fontId="14" fillId="2" borderId="16" xfId="0" applyFont="1" applyFill="1" applyBorder="1" applyAlignment="1" applyProtection="1">
      <alignment horizontal="center" vertical="center" wrapText="1"/>
      <protection locked="0"/>
    </xf>
    <xf numFmtId="0" fontId="14" fillId="2" borderId="14" xfId="0" applyFont="1" applyFill="1" applyBorder="1" applyAlignment="1" applyProtection="1">
      <alignment horizontal="center" vertical="center" wrapText="1"/>
      <protection locked="0"/>
    </xf>
    <xf numFmtId="0" fontId="14" fillId="2" borderId="15" xfId="0" applyFont="1" applyFill="1" applyBorder="1" applyAlignment="1" applyProtection="1">
      <alignment horizontal="center" vertical="center" wrapText="1"/>
      <protection locked="0"/>
    </xf>
    <xf numFmtId="0" fontId="14" fillId="2" borderId="7" xfId="0" applyFont="1" applyFill="1" applyBorder="1" applyAlignment="1" applyProtection="1">
      <alignment horizontal="center" vertical="center" wrapText="1"/>
      <protection locked="0"/>
    </xf>
    <xf numFmtId="0" fontId="14" fillId="2" borderId="8" xfId="0" applyFont="1" applyFill="1" applyBorder="1" applyAlignment="1" applyProtection="1">
      <alignment horizontal="center" vertical="center" wrapText="1"/>
      <protection locked="0"/>
    </xf>
    <xf numFmtId="0" fontId="14" fillId="2" borderId="9" xfId="0" applyFont="1" applyFill="1" applyBorder="1" applyAlignment="1" applyProtection="1">
      <alignment horizontal="center" vertical="center" wrapText="1"/>
      <protection locked="0"/>
    </xf>
    <xf numFmtId="0" fontId="14" fillId="2" borderId="52" xfId="0" applyFont="1" applyFill="1" applyBorder="1" applyAlignment="1" applyProtection="1">
      <alignment horizontal="center" vertical="center" wrapText="1"/>
      <protection locked="0"/>
    </xf>
    <xf numFmtId="0" fontId="14" fillId="2" borderId="53" xfId="0" applyFont="1" applyFill="1" applyBorder="1" applyAlignment="1" applyProtection="1">
      <alignment horizontal="center" vertical="center" wrapText="1"/>
      <protection locked="0"/>
    </xf>
    <xf numFmtId="0" fontId="14" fillId="2" borderId="54" xfId="0" applyFont="1" applyFill="1" applyBorder="1" applyAlignment="1" applyProtection="1">
      <alignment horizontal="center" vertical="center" wrapText="1"/>
      <protection locked="0"/>
    </xf>
    <xf numFmtId="0" fontId="14" fillId="2" borderId="11" xfId="0" applyFont="1" applyFill="1" applyBorder="1" applyAlignment="1" applyProtection="1">
      <alignment horizontal="center" vertical="center" wrapText="1"/>
      <protection locked="0"/>
    </xf>
    <xf numFmtId="0" fontId="14" fillId="2" borderId="10" xfId="0" applyFont="1" applyFill="1" applyBorder="1" applyAlignment="1" applyProtection="1">
      <alignment horizontal="center" vertical="center" wrapText="1"/>
      <protection locked="0"/>
    </xf>
    <xf numFmtId="0" fontId="14" fillId="2" borderId="12" xfId="0" applyFont="1" applyFill="1" applyBorder="1" applyAlignment="1" applyProtection="1">
      <alignment horizontal="center" vertical="center" wrapText="1"/>
      <protection locked="0"/>
    </xf>
    <xf numFmtId="0" fontId="14" fillId="2" borderId="26" xfId="0" applyFont="1" applyFill="1" applyBorder="1" applyAlignment="1" applyProtection="1">
      <alignment horizontal="center" vertical="center" wrapText="1"/>
      <protection locked="0"/>
    </xf>
    <xf numFmtId="0" fontId="9" fillId="0" borderId="37" xfId="6" applyFont="1" applyBorder="1" applyAlignment="1" applyProtection="1">
      <alignment horizontal="center" vertical="center" textRotation="255"/>
      <protection locked="0"/>
    </xf>
    <xf numFmtId="0" fontId="9" fillId="0" borderId="79" xfId="6" applyFont="1" applyBorder="1" applyAlignment="1" applyProtection="1">
      <alignment horizontal="center" vertical="center" textRotation="255"/>
      <protection locked="0"/>
    </xf>
    <xf numFmtId="9" fontId="14" fillId="0" borderId="32" xfId="0" applyNumberFormat="1" applyFont="1" applyBorder="1" applyAlignment="1" applyProtection="1">
      <alignment horizontal="center" vertical="center" wrapText="1"/>
      <protection locked="0"/>
    </xf>
    <xf numFmtId="9" fontId="14" fillId="0" borderId="33" xfId="0" applyNumberFormat="1" applyFont="1" applyBorder="1" applyAlignment="1" applyProtection="1">
      <alignment horizontal="center" vertical="center" wrapText="1"/>
      <protection locked="0"/>
    </xf>
    <xf numFmtId="9" fontId="14" fillId="0" borderId="34" xfId="0" applyNumberFormat="1" applyFont="1" applyBorder="1" applyAlignment="1" applyProtection="1">
      <alignment horizontal="center" vertical="center" wrapText="1"/>
      <protection locked="0"/>
    </xf>
    <xf numFmtId="38" fontId="5" fillId="5" borderId="28" xfId="4" applyFont="1" applyFill="1" applyBorder="1" applyAlignment="1" applyProtection="1">
      <alignment horizontal="center" vertical="center" shrinkToFit="1"/>
      <protection locked="0"/>
    </xf>
    <xf numFmtId="38" fontId="5" fillId="5" borderId="29" xfId="4" applyFont="1" applyFill="1" applyBorder="1" applyAlignment="1" applyProtection="1">
      <alignment horizontal="center" vertical="center" shrinkToFit="1"/>
      <protection locked="0"/>
    </xf>
    <xf numFmtId="38" fontId="5" fillId="5" borderId="30" xfId="4" applyFont="1" applyFill="1" applyBorder="1" applyAlignment="1" applyProtection="1">
      <alignment horizontal="center" vertical="center" shrinkToFit="1"/>
      <protection locked="0"/>
    </xf>
    <xf numFmtId="0" fontId="11" fillId="0" borderId="2" xfId="0" applyFont="1" applyBorder="1" applyAlignment="1" applyProtection="1">
      <alignment horizontal="left" wrapText="1"/>
      <protection locked="0"/>
    </xf>
    <xf numFmtId="0" fontId="12" fillId="0" borderId="42" xfId="0" applyFont="1" applyBorder="1" applyAlignment="1" applyProtection="1">
      <alignment horizontal="center" vertical="center" shrinkToFit="1"/>
      <protection locked="0"/>
    </xf>
    <xf numFmtId="0" fontId="24" fillId="0" borderId="44" xfId="0" applyFont="1" applyBorder="1" applyAlignment="1" applyProtection="1">
      <alignment horizontal="left" wrapText="1"/>
      <protection locked="0"/>
    </xf>
    <xf numFmtId="0" fontId="25" fillId="3" borderId="2" xfId="0" applyFont="1" applyFill="1" applyBorder="1" applyAlignment="1" applyProtection="1">
      <alignment horizontal="left" wrapText="1"/>
      <protection locked="0"/>
    </xf>
    <xf numFmtId="0" fontId="11" fillId="3" borderId="2" xfId="0" applyFont="1" applyFill="1" applyBorder="1" applyAlignment="1" applyProtection="1">
      <alignment horizontal="left" wrapText="1"/>
      <protection locked="0"/>
    </xf>
    <xf numFmtId="38" fontId="5" fillId="6" borderId="28" xfId="4" applyFont="1" applyFill="1" applyBorder="1" applyAlignment="1" applyProtection="1">
      <alignment horizontal="center" vertical="center" shrinkToFit="1"/>
    </xf>
    <xf numFmtId="38" fontId="5" fillId="6" borderId="29" xfId="4" applyFont="1" applyFill="1" applyBorder="1" applyAlignment="1" applyProtection="1">
      <alignment horizontal="center" vertical="center" shrinkToFit="1"/>
    </xf>
    <xf numFmtId="176" fontId="5" fillId="7" borderId="28" xfId="5" applyNumberFormat="1" applyFont="1" applyFill="1" applyBorder="1" applyAlignment="1" applyProtection="1">
      <alignment horizontal="center" vertical="center" shrinkToFit="1"/>
      <protection locked="0"/>
    </xf>
    <xf numFmtId="176" fontId="5" fillId="7" borderId="29" xfId="5" applyNumberFormat="1" applyFont="1" applyFill="1" applyBorder="1" applyAlignment="1" applyProtection="1">
      <alignment horizontal="center" vertical="center" shrinkToFit="1"/>
      <protection locked="0"/>
    </xf>
    <xf numFmtId="0" fontId="5" fillId="5" borderId="28" xfId="0" applyFont="1" applyFill="1" applyBorder="1" applyAlignment="1" applyProtection="1">
      <alignment horizontal="center" vertical="center" shrinkToFit="1"/>
      <protection locked="0"/>
    </xf>
    <xf numFmtId="0" fontId="5" fillId="5" borderId="29" xfId="0" applyFont="1" applyFill="1" applyBorder="1" applyAlignment="1" applyProtection="1">
      <alignment horizontal="center" vertical="center" shrinkToFit="1"/>
      <protection locked="0"/>
    </xf>
    <xf numFmtId="0" fontId="4" fillId="0" borderId="0" xfId="0" applyFont="1" applyAlignment="1" applyProtection="1">
      <alignment horizontal="left" vertical="top"/>
      <protection locked="0"/>
    </xf>
    <xf numFmtId="0" fontId="4" fillId="0" borderId="45" xfId="0" applyFont="1" applyBorder="1" applyAlignment="1" applyProtection="1">
      <alignment horizontal="left" vertical="center"/>
      <protection locked="0"/>
    </xf>
    <xf numFmtId="0" fontId="4" fillId="0" borderId="46" xfId="0" applyFont="1" applyBorder="1" applyAlignment="1" applyProtection="1">
      <alignment horizontal="left" vertical="center"/>
      <protection locked="0"/>
    </xf>
    <xf numFmtId="0" fontId="4" fillId="0" borderId="47" xfId="0" applyFont="1" applyBorder="1" applyAlignment="1" applyProtection="1">
      <alignment horizontal="left" vertical="center"/>
      <protection locked="0"/>
    </xf>
    <xf numFmtId="0" fontId="4" fillId="0" borderId="0" xfId="0" applyFont="1" applyAlignment="1" applyProtection="1">
      <alignment horizontal="left" vertical="center"/>
      <protection locked="0"/>
    </xf>
    <xf numFmtId="0" fontId="4" fillId="0" borderId="48" xfId="0" applyFont="1" applyBorder="1" applyAlignment="1" applyProtection="1">
      <alignment horizontal="left" vertical="center"/>
      <protection locked="0"/>
    </xf>
    <xf numFmtId="0" fontId="4" fillId="0" borderId="49" xfId="0" applyFont="1" applyBorder="1" applyAlignment="1" applyProtection="1">
      <alignment horizontal="left" vertical="center"/>
      <protection locked="0"/>
    </xf>
    <xf numFmtId="0" fontId="13" fillId="0" borderId="0" xfId="0" applyFont="1" applyAlignment="1" applyProtection="1">
      <alignment horizontal="left" vertical="top" wrapText="1"/>
      <protection locked="0"/>
    </xf>
    <xf numFmtId="0" fontId="4" fillId="3" borderId="0" xfId="0" applyFont="1" applyFill="1" applyAlignment="1" applyProtection="1">
      <alignment horizontal="left" vertical="top" wrapText="1"/>
      <protection locked="0"/>
    </xf>
    <xf numFmtId="0" fontId="14" fillId="0" borderId="7"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4" fillId="3" borderId="0" xfId="0" applyFont="1" applyFill="1" applyAlignment="1" applyProtection="1">
      <alignment horizontal="right" vertical="top"/>
      <protection locked="0"/>
    </xf>
    <xf numFmtId="0" fontId="14" fillId="0" borderId="62" xfId="0" applyFont="1" applyBorder="1" applyAlignment="1" applyProtection="1">
      <alignment horizontal="center" vertical="center" wrapText="1"/>
      <protection locked="0"/>
    </xf>
    <xf numFmtId="0" fontId="14" fillId="0" borderId="63" xfId="0" applyFont="1" applyBorder="1" applyAlignment="1" applyProtection="1">
      <alignment horizontal="center" vertical="center" wrapText="1"/>
      <protection locked="0"/>
    </xf>
    <xf numFmtId="0" fontId="14" fillId="0" borderId="81" xfId="0" applyFont="1" applyBorder="1" applyAlignment="1" applyProtection="1">
      <alignment horizontal="center" vertical="center" wrapText="1"/>
      <protection locked="0"/>
    </xf>
    <xf numFmtId="0" fontId="14" fillId="0" borderId="75" xfId="0" applyFont="1" applyBorder="1" applyAlignment="1" applyProtection="1">
      <alignment horizontal="center" vertical="center" wrapText="1"/>
      <protection locked="0"/>
    </xf>
    <xf numFmtId="0" fontId="14" fillId="0" borderId="76" xfId="0" applyFont="1" applyBorder="1" applyAlignment="1" applyProtection="1">
      <alignment horizontal="center" vertical="center" wrapText="1"/>
      <protection locked="0"/>
    </xf>
    <xf numFmtId="0" fontId="14" fillId="0" borderId="85" xfId="0" applyFont="1" applyBorder="1" applyAlignment="1" applyProtection="1">
      <alignment horizontal="center" vertical="center" wrapText="1"/>
      <protection locked="0"/>
    </xf>
    <xf numFmtId="9" fontId="14" fillId="0" borderId="1" xfId="0" applyNumberFormat="1" applyFont="1" applyBorder="1" applyAlignment="1" applyProtection="1">
      <alignment horizontal="center" vertical="center" wrapText="1"/>
      <protection locked="0"/>
    </xf>
    <xf numFmtId="9" fontId="14" fillId="0" borderId="2" xfId="0" applyNumberFormat="1" applyFont="1" applyBorder="1" applyAlignment="1" applyProtection="1">
      <alignment horizontal="center" vertical="center" wrapText="1"/>
      <protection locked="0"/>
    </xf>
    <xf numFmtId="9" fontId="14" fillId="0" borderId="5" xfId="0" applyNumberFormat="1" applyFont="1" applyBorder="1" applyAlignment="1" applyProtection="1">
      <alignment horizontal="center" vertical="center" wrapText="1"/>
      <protection locked="0"/>
    </xf>
    <xf numFmtId="0" fontId="14" fillId="0" borderId="72" xfId="0" applyFont="1" applyBorder="1" applyAlignment="1" applyProtection="1">
      <alignment horizontal="center" vertical="center" wrapText="1"/>
      <protection locked="0"/>
    </xf>
    <xf numFmtId="0" fontId="14" fillId="0" borderId="73" xfId="0" applyFont="1" applyBorder="1" applyAlignment="1" applyProtection="1">
      <alignment horizontal="center" vertical="center" wrapText="1"/>
      <protection locked="0"/>
    </xf>
    <xf numFmtId="0" fontId="14" fillId="0" borderId="74" xfId="0" applyFont="1" applyBorder="1" applyAlignment="1" applyProtection="1">
      <alignment horizontal="center" vertical="center" wrapText="1"/>
      <protection locked="0"/>
    </xf>
    <xf numFmtId="0" fontId="9" fillId="2" borderId="82" xfId="0" applyFont="1" applyFill="1" applyBorder="1" applyAlignment="1" applyProtection="1">
      <alignment horizontal="center" vertical="center"/>
      <protection locked="0"/>
    </xf>
    <xf numFmtId="0" fontId="4" fillId="2" borderId="86" xfId="0" applyFont="1" applyFill="1" applyBorder="1" applyAlignment="1" applyProtection="1">
      <alignment horizontal="center" vertical="center"/>
      <protection locked="0"/>
    </xf>
    <xf numFmtId="0" fontId="4" fillId="2" borderId="87" xfId="0" applyFont="1" applyFill="1" applyBorder="1" applyAlignment="1" applyProtection="1">
      <alignment horizontal="center" vertical="center"/>
      <protection locked="0"/>
    </xf>
    <xf numFmtId="0" fontId="4" fillId="2" borderId="88" xfId="0" applyFont="1" applyFill="1" applyBorder="1" applyAlignment="1" applyProtection="1">
      <alignment horizontal="center" vertical="center"/>
      <protection locked="0"/>
    </xf>
    <xf numFmtId="0" fontId="4" fillId="2" borderId="80" xfId="0" applyFont="1" applyFill="1" applyBorder="1" applyAlignment="1" applyProtection="1">
      <alignment horizontal="center" vertical="center"/>
      <protection locked="0"/>
    </xf>
    <xf numFmtId="0" fontId="14" fillId="0" borderId="64" xfId="0" applyFont="1" applyBorder="1" applyAlignment="1" applyProtection="1">
      <alignment horizontal="center" vertical="center" wrapText="1"/>
      <protection locked="0"/>
    </xf>
    <xf numFmtId="0" fontId="14" fillId="0" borderId="77" xfId="0" applyFont="1" applyBorder="1" applyAlignment="1" applyProtection="1">
      <alignment horizontal="center" vertical="center" wrapText="1"/>
      <protection locked="0"/>
    </xf>
    <xf numFmtId="0" fontId="4" fillId="0" borderId="14" xfId="0" applyFont="1" applyBorder="1" applyAlignment="1" applyProtection="1">
      <alignment horizontal="left" vertical="center" wrapText="1"/>
      <protection locked="0"/>
    </xf>
    <xf numFmtId="9" fontId="14" fillId="0" borderId="7" xfId="0" applyNumberFormat="1" applyFont="1" applyBorder="1" applyAlignment="1" applyProtection="1">
      <alignment horizontal="center" vertical="center" wrapText="1"/>
      <protection locked="0"/>
    </xf>
    <xf numFmtId="9" fontId="14" fillId="0" borderId="8" xfId="0" applyNumberFormat="1" applyFont="1" applyBorder="1" applyAlignment="1" applyProtection="1">
      <alignment horizontal="center" vertical="center" wrapText="1"/>
      <protection locked="0"/>
    </xf>
    <xf numFmtId="9" fontId="14" fillId="0" borderId="9" xfId="0" applyNumberFormat="1" applyFont="1" applyBorder="1" applyAlignment="1" applyProtection="1">
      <alignment horizontal="center" vertical="center" wrapText="1"/>
      <protection locked="0"/>
    </xf>
    <xf numFmtId="9" fontId="14" fillId="0" borderId="62" xfId="0" applyNumberFormat="1" applyFont="1" applyBorder="1" applyAlignment="1" applyProtection="1">
      <alignment horizontal="center" vertical="center" wrapText="1"/>
      <protection locked="0"/>
    </xf>
    <xf numFmtId="9" fontId="14" fillId="0" borderId="63" xfId="0" applyNumberFormat="1" applyFont="1" applyBorder="1" applyAlignment="1" applyProtection="1">
      <alignment horizontal="center" vertical="center" wrapText="1"/>
      <protection locked="0"/>
    </xf>
    <xf numFmtId="9" fontId="14" fillId="0" borderId="64" xfId="0" applyNumberFormat="1" applyFont="1" applyBorder="1" applyAlignment="1" applyProtection="1">
      <alignment horizontal="center" vertical="center" wrapText="1"/>
      <protection locked="0"/>
    </xf>
    <xf numFmtId="9" fontId="14" fillId="0" borderId="65" xfId="0" applyNumberFormat="1" applyFont="1" applyBorder="1" applyAlignment="1" applyProtection="1">
      <alignment horizontal="center" vertical="center" wrapText="1"/>
      <protection locked="0"/>
    </xf>
    <xf numFmtId="9" fontId="14" fillId="0" borderId="66" xfId="0" applyNumberFormat="1" applyFont="1" applyBorder="1" applyAlignment="1" applyProtection="1">
      <alignment horizontal="center" vertical="center" wrapText="1"/>
      <protection locked="0"/>
    </xf>
    <xf numFmtId="9" fontId="14" fillId="0" borderId="67" xfId="0" applyNumberFormat="1" applyFont="1" applyBorder="1" applyAlignment="1" applyProtection="1">
      <alignment horizontal="center" vertical="center" wrapText="1"/>
      <protection locked="0"/>
    </xf>
    <xf numFmtId="9" fontId="14" fillId="0" borderId="68" xfId="0" applyNumberFormat="1" applyFont="1" applyBorder="1" applyAlignment="1" applyProtection="1">
      <alignment horizontal="center" vertical="center" wrapText="1"/>
      <protection locked="0"/>
    </xf>
    <xf numFmtId="9" fontId="14" fillId="0" borderId="56" xfId="0" applyNumberFormat="1" applyFont="1" applyBorder="1" applyAlignment="1" applyProtection="1">
      <alignment horizontal="center" vertical="center" wrapText="1"/>
      <protection locked="0"/>
    </xf>
    <xf numFmtId="9" fontId="14" fillId="0" borderId="69" xfId="0" applyNumberFormat="1" applyFont="1" applyBorder="1" applyAlignment="1" applyProtection="1">
      <alignment horizontal="center" vertical="center" wrapText="1"/>
      <protection locked="0"/>
    </xf>
    <xf numFmtId="9" fontId="14" fillId="0" borderId="70" xfId="0" applyNumberFormat="1" applyFont="1" applyBorder="1" applyAlignment="1" applyProtection="1">
      <alignment horizontal="center" vertical="center" wrapText="1"/>
      <protection locked="0"/>
    </xf>
    <xf numFmtId="9" fontId="14" fillId="0" borderId="27" xfId="0" applyNumberFormat="1" applyFont="1" applyBorder="1" applyAlignment="1" applyProtection="1">
      <alignment horizontal="center" vertical="center" wrapText="1"/>
      <protection locked="0"/>
    </xf>
    <xf numFmtId="9" fontId="14" fillId="0" borderId="71" xfId="0" applyNumberFormat="1" applyFont="1" applyBorder="1" applyAlignment="1" applyProtection="1">
      <alignment horizontal="center" vertical="center" wrapText="1"/>
      <protection locked="0"/>
    </xf>
    <xf numFmtId="9" fontId="14" fillId="0" borderId="4" xfId="0" applyNumberFormat="1" applyFont="1" applyBorder="1" applyAlignment="1" applyProtection="1">
      <alignment horizontal="center" vertical="center" wrapText="1"/>
      <protection locked="0"/>
    </xf>
    <xf numFmtId="9" fontId="14" fillId="0" borderId="0" xfId="0" applyNumberFormat="1" applyFont="1" applyAlignment="1" applyProtection="1">
      <alignment horizontal="center" vertical="center" wrapText="1"/>
      <protection locked="0"/>
    </xf>
    <xf numFmtId="9" fontId="14" fillId="0" borderId="21" xfId="0" applyNumberFormat="1" applyFont="1" applyBorder="1" applyAlignment="1" applyProtection="1">
      <alignment horizontal="center" vertical="center" wrapText="1"/>
      <protection locked="0"/>
    </xf>
    <xf numFmtId="9" fontId="14" fillId="0" borderId="35" xfId="0" applyNumberFormat="1" applyFont="1" applyBorder="1" applyAlignment="1" applyProtection="1">
      <alignment horizontal="center" vertical="center" wrapText="1"/>
      <protection locked="0"/>
    </xf>
    <xf numFmtId="0" fontId="4" fillId="0" borderId="62" xfId="0" applyFont="1" applyBorder="1" applyAlignment="1" applyProtection="1">
      <alignment horizontal="center" vertical="center"/>
      <protection locked="0"/>
    </xf>
    <xf numFmtId="0" fontId="4" fillId="0" borderId="63" xfId="0" applyFont="1" applyBorder="1" applyAlignment="1" applyProtection="1">
      <alignment horizontal="center" vertical="center"/>
      <protection locked="0"/>
    </xf>
    <xf numFmtId="0" fontId="4" fillId="0" borderId="64" xfId="0" applyFont="1" applyBorder="1" applyAlignment="1" applyProtection="1">
      <alignment horizontal="center" vertical="center"/>
      <protection locked="0"/>
    </xf>
    <xf numFmtId="0" fontId="4" fillId="0" borderId="75" xfId="0" applyFont="1" applyBorder="1" applyAlignment="1" applyProtection="1">
      <alignment horizontal="center" vertical="center"/>
      <protection locked="0"/>
    </xf>
    <xf numFmtId="0" fontId="4" fillId="0" borderId="76" xfId="0" applyFont="1" applyBorder="1" applyAlignment="1" applyProtection="1">
      <alignment horizontal="center" vertical="center"/>
      <protection locked="0"/>
    </xf>
    <xf numFmtId="0" fontId="4" fillId="0" borderId="77" xfId="0" applyFont="1" applyBorder="1" applyAlignment="1" applyProtection="1">
      <alignment horizontal="center" vertical="center"/>
      <protection locked="0"/>
    </xf>
    <xf numFmtId="9" fontId="14" fillId="0" borderId="72" xfId="0" applyNumberFormat="1" applyFont="1" applyBorder="1" applyAlignment="1" applyProtection="1">
      <alignment horizontal="center" vertical="center" wrapText="1"/>
      <protection locked="0"/>
    </xf>
    <xf numFmtId="9" fontId="14" fillId="0" borderId="73" xfId="0" applyNumberFormat="1" applyFont="1" applyBorder="1" applyAlignment="1" applyProtection="1">
      <alignment horizontal="center" vertical="center" wrapText="1"/>
      <protection locked="0"/>
    </xf>
    <xf numFmtId="9" fontId="14" fillId="0" borderId="74" xfId="0" applyNumberFormat="1" applyFont="1" applyBorder="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14" fillId="0" borderId="1"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4" fillId="0" borderId="78" xfId="0" applyFont="1" applyBorder="1" applyAlignment="1" applyProtection="1">
      <alignment horizontal="center" vertical="center" wrapText="1"/>
      <protection locked="0"/>
    </xf>
    <xf numFmtId="0" fontId="14" fillId="0" borderId="84" xfId="0" applyFont="1" applyBorder="1" applyAlignment="1" applyProtection="1">
      <alignment horizontal="center" vertical="center" wrapText="1"/>
      <protection locked="0"/>
    </xf>
    <xf numFmtId="0" fontId="14" fillId="0" borderId="68" xfId="0" applyFont="1" applyBorder="1" applyAlignment="1" applyProtection="1">
      <alignment horizontal="center" vertical="center" wrapText="1"/>
      <protection locked="0"/>
    </xf>
    <xf numFmtId="0" fontId="14" fillId="0" borderId="56" xfId="0" applyFont="1" applyBorder="1" applyAlignment="1" applyProtection="1">
      <alignment horizontal="center" vertical="center" wrapText="1"/>
      <protection locked="0"/>
    </xf>
    <xf numFmtId="0" fontId="14" fillId="0" borderId="57" xfId="0" applyFont="1" applyBorder="1" applyAlignment="1" applyProtection="1">
      <alignment horizontal="center" vertical="center" wrapText="1"/>
      <protection locked="0"/>
    </xf>
    <xf numFmtId="0" fontId="14" fillId="0" borderId="69" xfId="0" applyFont="1" applyBorder="1" applyAlignment="1" applyProtection="1">
      <alignment horizontal="center" vertical="center" wrapText="1"/>
      <protection locked="0"/>
    </xf>
    <xf numFmtId="0" fontId="14" fillId="0" borderId="35" xfId="0" applyFont="1" applyBorder="1" applyAlignment="1" applyProtection="1">
      <alignment horizontal="center" vertical="center" wrapText="1"/>
      <protection locked="0"/>
    </xf>
    <xf numFmtId="0" fontId="14" fillId="0" borderId="18" xfId="0" applyFont="1" applyBorder="1" applyAlignment="1" applyProtection="1">
      <alignment horizontal="center" vertical="center" wrapText="1"/>
      <protection locked="0"/>
    </xf>
  </cellXfs>
  <cellStyles count="7">
    <cellStyle name="パーセント" xfId="5" builtinId="5"/>
    <cellStyle name="桁区切り" xfId="4" builtinId="6"/>
    <cellStyle name="標準" xfId="0" builtinId="0"/>
    <cellStyle name="標準 2" xfId="1" xr:uid="{00000000-0005-0000-0000-000001000000}"/>
    <cellStyle name="標準 2 2" xfId="3" xr:uid="{59155893-2292-4572-B256-78E6876EB08F}"/>
    <cellStyle name="標準 3" xfId="6" xr:uid="{79B271C5-CFCF-4162-BD62-036B73A0EC84}"/>
    <cellStyle name="標準_キャリア形成促進助成金認定申請額積算内訳書（機構案④）_H18.02版受給資格認定様式（記載例）" xfId="2" xr:uid="{00000000-0005-0000-0000-000002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46</xdr:col>
      <xdr:colOff>0</xdr:colOff>
      <xdr:row>82</xdr:row>
      <xdr:rowOff>0</xdr:rowOff>
    </xdr:from>
    <xdr:ext cx="184730" cy="937629"/>
    <xdr:sp macro="" textlink="">
      <xdr:nvSpPr>
        <xdr:cNvPr id="5" name="正方形/長方形 4">
          <a:extLst>
            <a:ext uri="{FF2B5EF4-FFF2-40B4-BE49-F238E27FC236}">
              <a16:creationId xmlns:a16="http://schemas.microsoft.com/office/drawing/2014/main" id="{7ACAD7C6-1923-46D0-AB5C-6EFF612DF35C}"/>
            </a:ext>
          </a:extLst>
        </xdr:cNvPr>
        <xdr:cNvSpPr/>
      </xdr:nvSpPr>
      <xdr:spPr>
        <a:xfrm>
          <a:off x="10953750" y="25574625"/>
          <a:ext cx="184730" cy="937629"/>
        </a:xfrm>
        <a:prstGeom prst="rect">
          <a:avLst/>
        </a:prstGeom>
        <a:noFill/>
      </xdr:spPr>
      <xdr:txBody>
        <a:bodyPr wrap="none" lIns="91440" tIns="45720" rIns="91440" bIns="45720">
          <a:spAutoFit/>
        </a:bodyPr>
        <a:lstStyle/>
        <a:p>
          <a:pPr algn="ctr"/>
          <a:endParaRPr lang="ja-JP" alt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08D5-C9BE-45F4-B4F7-E79F6A8847E6}">
  <sheetPr>
    <pageSetUpPr fitToPage="1"/>
  </sheetPr>
  <dimension ref="A1:IV211"/>
  <sheetViews>
    <sheetView showGridLines="0" tabSelected="1" view="pageBreakPreview" topLeftCell="A34" zoomScaleNormal="100" zoomScaleSheetLayoutView="100" workbookViewId="0">
      <selection activeCell="AN30" sqref="AN30"/>
    </sheetView>
  </sheetViews>
  <sheetFormatPr defaultColWidth="2.26953125" defaultRowHeight="12.75" customHeight="1" x14ac:dyDescent="0.2"/>
  <cols>
    <col min="1" max="46" width="3.08984375" style="3" customWidth="1"/>
    <col min="47" max="47" width="0" style="3" hidden="1" customWidth="1"/>
    <col min="48" max="48" width="8.08984375" style="3" hidden="1" customWidth="1"/>
    <col min="49" max="49" width="10.26953125" style="3" hidden="1" customWidth="1"/>
    <col min="50" max="50" width="10.453125" style="3" hidden="1" customWidth="1"/>
    <col min="51" max="136" width="2.26953125" style="3"/>
    <col min="137" max="137" width="2.6328125" style="3" customWidth="1"/>
    <col min="138" max="159" width="2.36328125" style="3" customWidth="1"/>
    <col min="160" max="160" width="2.453125" style="3" customWidth="1"/>
    <col min="161" max="161" width="2.36328125" style="3" customWidth="1"/>
    <col min="162" max="162" width="2.08984375" style="3" customWidth="1"/>
    <col min="163" max="173" width="2.36328125" style="3" customWidth="1"/>
    <col min="174" max="174" width="1.7265625" style="3" customWidth="1"/>
    <col min="175" max="175" width="2.36328125" style="3" customWidth="1"/>
    <col min="176" max="176" width="1.6328125" style="3" customWidth="1"/>
    <col min="177" max="182" width="2.36328125" style="3" customWidth="1"/>
    <col min="183" max="392" width="2.26953125" style="3"/>
    <col min="393" max="393" width="2.6328125" style="3" customWidth="1"/>
    <col min="394" max="415" width="2.36328125" style="3" customWidth="1"/>
    <col min="416" max="416" width="2.453125" style="3" customWidth="1"/>
    <col min="417" max="417" width="2.36328125" style="3" customWidth="1"/>
    <col min="418" max="418" width="2.08984375" style="3" customWidth="1"/>
    <col min="419" max="429" width="2.36328125" style="3" customWidth="1"/>
    <col min="430" max="430" width="1.7265625" style="3" customWidth="1"/>
    <col min="431" max="431" width="2.36328125" style="3" customWidth="1"/>
    <col min="432" max="432" width="1.6328125" style="3" customWidth="1"/>
    <col min="433" max="438" width="2.36328125" style="3" customWidth="1"/>
    <col min="439" max="648" width="2.26953125" style="3"/>
    <col min="649" max="649" width="2.6328125" style="3" customWidth="1"/>
    <col min="650" max="671" width="2.36328125" style="3" customWidth="1"/>
    <col min="672" max="672" width="2.453125" style="3" customWidth="1"/>
    <col min="673" max="673" width="2.36328125" style="3" customWidth="1"/>
    <col min="674" max="674" width="2.08984375" style="3" customWidth="1"/>
    <col min="675" max="685" width="2.36328125" style="3" customWidth="1"/>
    <col min="686" max="686" width="1.7265625" style="3" customWidth="1"/>
    <col min="687" max="687" width="2.36328125" style="3" customWidth="1"/>
    <col min="688" max="688" width="1.6328125" style="3" customWidth="1"/>
    <col min="689" max="694" width="2.36328125" style="3" customWidth="1"/>
    <col min="695" max="904" width="2.26953125" style="3"/>
    <col min="905" max="905" width="2.6328125" style="3" customWidth="1"/>
    <col min="906" max="927" width="2.36328125" style="3" customWidth="1"/>
    <col min="928" max="928" width="2.453125" style="3" customWidth="1"/>
    <col min="929" max="929" width="2.36328125" style="3" customWidth="1"/>
    <col min="930" max="930" width="2.08984375" style="3" customWidth="1"/>
    <col min="931" max="941" width="2.36328125" style="3" customWidth="1"/>
    <col min="942" max="942" width="1.7265625" style="3" customWidth="1"/>
    <col min="943" max="943" width="2.36328125" style="3" customWidth="1"/>
    <col min="944" max="944" width="1.6328125" style="3" customWidth="1"/>
    <col min="945" max="950" width="2.36328125" style="3" customWidth="1"/>
    <col min="951" max="1160" width="2.26953125" style="3"/>
    <col min="1161" max="1161" width="2.6328125" style="3" customWidth="1"/>
    <col min="1162" max="1183" width="2.36328125" style="3" customWidth="1"/>
    <col min="1184" max="1184" width="2.453125" style="3" customWidth="1"/>
    <col min="1185" max="1185" width="2.36328125" style="3" customWidth="1"/>
    <col min="1186" max="1186" width="2.08984375" style="3" customWidth="1"/>
    <col min="1187" max="1197" width="2.36328125" style="3" customWidth="1"/>
    <col min="1198" max="1198" width="1.7265625" style="3" customWidth="1"/>
    <col min="1199" max="1199" width="2.36328125" style="3" customWidth="1"/>
    <col min="1200" max="1200" width="1.6328125" style="3" customWidth="1"/>
    <col min="1201" max="1206" width="2.36328125" style="3" customWidth="1"/>
    <col min="1207" max="1416" width="2.26953125" style="3"/>
    <col min="1417" max="1417" width="2.6328125" style="3" customWidth="1"/>
    <col min="1418" max="1439" width="2.36328125" style="3" customWidth="1"/>
    <col min="1440" max="1440" width="2.453125" style="3" customWidth="1"/>
    <col min="1441" max="1441" width="2.36328125" style="3" customWidth="1"/>
    <col min="1442" max="1442" width="2.08984375" style="3" customWidth="1"/>
    <col min="1443" max="1453" width="2.36328125" style="3" customWidth="1"/>
    <col min="1454" max="1454" width="1.7265625" style="3" customWidth="1"/>
    <col min="1455" max="1455" width="2.36328125" style="3" customWidth="1"/>
    <col min="1456" max="1456" width="1.6328125" style="3" customWidth="1"/>
    <col min="1457" max="1462" width="2.36328125" style="3" customWidth="1"/>
    <col min="1463" max="1672" width="2.26953125" style="3"/>
    <col min="1673" max="1673" width="2.6328125" style="3" customWidth="1"/>
    <col min="1674" max="1695" width="2.36328125" style="3" customWidth="1"/>
    <col min="1696" max="1696" width="2.453125" style="3" customWidth="1"/>
    <col min="1697" max="1697" width="2.36328125" style="3" customWidth="1"/>
    <col min="1698" max="1698" width="2.08984375" style="3" customWidth="1"/>
    <col min="1699" max="1709" width="2.36328125" style="3" customWidth="1"/>
    <col min="1710" max="1710" width="1.7265625" style="3" customWidth="1"/>
    <col min="1711" max="1711" width="2.36328125" style="3" customWidth="1"/>
    <col min="1712" max="1712" width="1.6328125" style="3" customWidth="1"/>
    <col min="1713" max="1718" width="2.36328125" style="3" customWidth="1"/>
    <col min="1719" max="1928" width="2.26953125" style="3"/>
    <col min="1929" max="1929" width="2.6328125" style="3" customWidth="1"/>
    <col min="1930" max="1951" width="2.36328125" style="3" customWidth="1"/>
    <col min="1952" max="1952" width="2.453125" style="3" customWidth="1"/>
    <col min="1953" max="1953" width="2.36328125" style="3" customWidth="1"/>
    <col min="1954" max="1954" width="2.08984375" style="3" customWidth="1"/>
    <col min="1955" max="1965" width="2.36328125" style="3" customWidth="1"/>
    <col min="1966" max="1966" width="1.7265625" style="3" customWidth="1"/>
    <col min="1967" max="1967" width="2.36328125" style="3" customWidth="1"/>
    <col min="1968" max="1968" width="1.6328125" style="3" customWidth="1"/>
    <col min="1969" max="1974" width="2.36328125" style="3" customWidth="1"/>
    <col min="1975" max="2184" width="2.26953125" style="3"/>
    <col min="2185" max="2185" width="2.6328125" style="3" customWidth="1"/>
    <col min="2186" max="2207" width="2.36328125" style="3" customWidth="1"/>
    <col min="2208" max="2208" width="2.453125" style="3" customWidth="1"/>
    <col min="2209" max="2209" width="2.36328125" style="3" customWidth="1"/>
    <col min="2210" max="2210" width="2.08984375" style="3" customWidth="1"/>
    <col min="2211" max="2221" width="2.36328125" style="3" customWidth="1"/>
    <col min="2222" max="2222" width="1.7265625" style="3" customWidth="1"/>
    <col min="2223" max="2223" width="2.36328125" style="3" customWidth="1"/>
    <col min="2224" max="2224" width="1.6328125" style="3" customWidth="1"/>
    <col min="2225" max="2230" width="2.36328125" style="3" customWidth="1"/>
    <col min="2231" max="2440" width="2.26953125" style="3"/>
    <col min="2441" max="2441" width="2.6328125" style="3" customWidth="1"/>
    <col min="2442" max="2463" width="2.36328125" style="3" customWidth="1"/>
    <col min="2464" max="2464" width="2.453125" style="3" customWidth="1"/>
    <col min="2465" max="2465" width="2.36328125" style="3" customWidth="1"/>
    <col min="2466" max="2466" width="2.08984375" style="3" customWidth="1"/>
    <col min="2467" max="2477" width="2.36328125" style="3" customWidth="1"/>
    <col min="2478" max="2478" width="1.7265625" style="3" customWidth="1"/>
    <col min="2479" max="2479" width="2.36328125" style="3" customWidth="1"/>
    <col min="2480" max="2480" width="1.6328125" style="3" customWidth="1"/>
    <col min="2481" max="2486" width="2.36328125" style="3" customWidth="1"/>
    <col min="2487" max="2696" width="2.26953125" style="3"/>
    <col min="2697" max="2697" width="2.6328125" style="3" customWidth="1"/>
    <col min="2698" max="2719" width="2.36328125" style="3" customWidth="1"/>
    <col min="2720" max="2720" width="2.453125" style="3" customWidth="1"/>
    <col min="2721" max="2721" width="2.36328125" style="3" customWidth="1"/>
    <col min="2722" max="2722" width="2.08984375" style="3" customWidth="1"/>
    <col min="2723" max="2733" width="2.36328125" style="3" customWidth="1"/>
    <col min="2734" max="2734" width="1.7265625" style="3" customWidth="1"/>
    <col min="2735" max="2735" width="2.36328125" style="3" customWidth="1"/>
    <col min="2736" max="2736" width="1.6328125" style="3" customWidth="1"/>
    <col min="2737" max="2742" width="2.36328125" style="3" customWidth="1"/>
    <col min="2743" max="2952" width="2.26953125" style="3"/>
    <col min="2953" max="2953" width="2.6328125" style="3" customWidth="1"/>
    <col min="2954" max="2975" width="2.36328125" style="3" customWidth="1"/>
    <col min="2976" max="2976" width="2.453125" style="3" customWidth="1"/>
    <col min="2977" max="2977" width="2.36328125" style="3" customWidth="1"/>
    <col min="2978" max="2978" width="2.08984375" style="3" customWidth="1"/>
    <col min="2979" max="2989" width="2.36328125" style="3" customWidth="1"/>
    <col min="2990" max="2990" width="1.7265625" style="3" customWidth="1"/>
    <col min="2991" max="2991" width="2.36328125" style="3" customWidth="1"/>
    <col min="2992" max="2992" width="1.6328125" style="3" customWidth="1"/>
    <col min="2993" max="2998" width="2.36328125" style="3" customWidth="1"/>
    <col min="2999" max="3208" width="2.26953125" style="3"/>
    <col min="3209" max="3209" width="2.6328125" style="3" customWidth="1"/>
    <col min="3210" max="3231" width="2.36328125" style="3" customWidth="1"/>
    <col min="3232" max="3232" width="2.453125" style="3" customWidth="1"/>
    <col min="3233" max="3233" width="2.36328125" style="3" customWidth="1"/>
    <col min="3234" max="3234" width="2.08984375" style="3" customWidth="1"/>
    <col min="3235" max="3245" width="2.36328125" style="3" customWidth="1"/>
    <col min="3246" max="3246" width="1.7265625" style="3" customWidth="1"/>
    <col min="3247" max="3247" width="2.36328125" style="3" customWidth="1"/>
    <col min="3248" max="3248" width="1.6328125" style="3" customWidth="1"/>
    <col min="3249" max="3254" width="2.36328125" style="3" customWidth="1"/>
    <col min="3255" max="3464" width="2.26953125" style="3"/>
    <col min="3465" max="3465" width="2.6328125" style="3" customWidth="1"/>
    <col min="3466" max="3487" width="2.36328125" style="3" customWidth="1"/>
    <col min="3488" max="3488" width="2.453125" style="3" customWidth="1"/>
    <col min="3489" max="3489" width="2.36328125" style="3" customWidth="1"/>
    <col min="3490" max="3490" width="2.08984375" style="3" customWidth="1"/>
    <col min="3491" max="3501" width="2.36328125" style="3" customWidth="1"/>
    <col min="3502" max="3502" width="1.7265625" style="3" customWidth="1"/>
    <col min="3503" max="3503" width="2.36328125" style="3" customWidth="1"/>
    <col min="3504" max="3504" width="1.6328125" style="3" customWidth="1"/>
    <col min="3505" max="3510" width="2.36328125" style="3" customWidth="1"/>
    <col min="3511" max="3720" width="2.26953125" style="3"/>
    <col min="3721" max="3721" width="2.6328125" style="3" customWidth="1"/>
    <col min="3722" max="3743" width="2.36328125" style="3" customWidth="1"/>
    <col min="3744" max="3744" width="2.453125" style="3" customWidth="1"/>
    <col min="3745" max="3745" width="2.36328125" style="3" customWidth="1"/>
    <col min="3746" max="3746" width="2.08984375" style="3" customWidth="1"/>
    <col min="3747" max="3757" width="2.36328125" style="3" customWidth="1"/>
    <col min="3758" max="3758" width="1.7265625" style="3" customWidth="1"/>
    <col min="3759" max="3759" width="2.36328125" style="3" customWidth="1"/>
    <col min="3760" max="3760" width="1.6328125" style="3" customWidth="1"/>
    <col min="3761" max="3766" width="2.36328125" style="3" customWidth="1"/>
    <col min="3767" max="3976" width="2.26953125" style="3"/>
    <col min="3977" max="3977" width="2.6328125" style="3" customWidth="1"/>
    <col min="3978" max="3999" width="2.36328125" style="3" customWidth="1"/>
    <col min="4000" max="4000" width="2.453125" style="3" customWidth="1"/>
    <col min="4001" max="4001" width="2.36328125" style="3" customWidth="1"/>
    <col min="4002" max="4002" width="2.08984375" style="3" customWidth="1"/>
    <col min="4003" max="4013" width="2.36328125" style="3" customWidth="1"/>
    <col min="4014" max="4014" width="1.7265625" style="3" customWidth="1"/>
    <col min="4015" max="4015" width="2.36328125" style="3" customWidth="1"/>
    <col min="4016" max="4016" width="1.6328125" style="3" customWidth="1"/>
    <col min="4017" max="4022" width="2.36328125" style="3" customWidth="1"/>
    <col min="4023" max="4232" width="2.26953125" style="3"/>
    <col min="4233" max="4233" width="2.6328125" style="3" customWidth="1"/>
    <col min="4234" max="4255" width="2.36328125" style="3" customWidth="1"/>
    <col min="4256" max="4256" width="2.453125" style="3" customWidth="1"/>
    <col min="4257" max="4257" width="2.36328125" style="3" customWidth="1"/>
    <col min="4258" max="4258" width="2.08984375" style="3" customWidth="1"/>
    <col min="4259" max="4269" width="2.36328125" style="3" customWidth="1"/>
    <col min="4270" max="4270" width="1.7265625" style="3" customWidth="1"/>
    <col min="4271" max="4271" width="2.36328125" style="3" customWidth="1"/>
    <col min="4272" max="4272" width="1.6328125" style="3" customWidth="1"/>
    <col min="4273" max="4278" width="2.36328125" style="3" customWidth="1"/>
    <col min="4279" max="4488" width="2.26953125" style="3"/>
    <col min="4489" max="4489" width="2.6328125" style="3" customWidth="1"/>
    <col min="4490" max="4511" width="2.36328125" style="3" customWidth="1"/>
    <col min="4512" max="4512" width="2.453125" style="3" customWidth="1"/>
    <col min="4513" max="4513" width="2.36328125" style="3" customWidth="1"/>
    <col min="4514" max="4514" width="2.08984375" style="3" customWidth="1"/>
    <col min="4515" max="4525" width="2.36328125" style="3" customWidth="1"/>
    <col min="4526" max="4526" width="1.7265625" style="3" customWidth="1"/>
    <col min="4527" max="4527" width="2.36328125" style="3" customWidth="1"/>
    <col min="4528" max="4528" width="1.6328125" style="3" customWidth="1"/>
    <col min="4529" max="4534" width="2.36328125" style="3" customWidth="1"/>
    <col min="4535" max="4744" width="2.26953125" style="3"/>
    <col min="4745" max="4745" width="2.6328125" style="3" customWidth="1"/>
    <col min="4746" max="4767" width="2.36328125" style="3" customWidth="1"/>
    <col min="4768" max="4768" width="2.453125" style="3" customWidth="1"/>
    <col min="4769" max="4769" width="2.36328125" style="3" customWidth="1"/>
    <col min="4770" max="4770" width="2.08984375" style="3" customWidth="1"/>
    <col min="4771" max="4781" width="2.36328125" style="3" customWidth="1"/>
    <col min="4782" max="4782" width="1.7265625" style="3" customWidth="1"/>
    <col min="4783" max="4783" width="2.36328125" style="3" customWidth="1"/>
    <col min="4784" max="4784" width="1.6328125" style="3" customWidth="1"/>
    <col min="4785" max="4790" width="2.36328125" style="3" customWidth="1"/>
    <col min="4791" max="5000" width="2.26953125" style="3"/>
    <col min="5001" max="5001" width="2.6328125" style="3" customWidth="1"/>
    <col min="5002" max="5023" width="2.36328125" style="3" customWidth="1"/>
    <col min="5024" max="5024" width="2.453125" style="3" customWidth="1"/>
    <col min="5025" max="5025" width="2.36328125" style="3" customWidth="1"/>
    <col min="5026" max="5026" width="2.08984375" style="3" customWidth="1"/>
    <col min="5027" max="5037" width="2.36328125" style="3" customWidth="1"/>
    <col min="5038" max="5038" width="1.7265625" style="3" customWidth="1"/>
    <col min="5039" max="5039" width="2.36328125" style="3" customWidth="1"/>
    <col min="5040" max="5040" width="1.6328125" style="3" customWidth="1"/>
    <col min="5041" max="5046" width="2.36328125" style="3" customWidth="1"/>
    <col min="5047" max="5256" width="2.26953125" style="3"/>
    <col min="5257" max="5257" width="2.6328125" style="3" customWidth="1"/>
    <col min="5258" max="5279" width="2.36328125" style="3" customWidth="1"/>
    <col min="5280" max="5280" width="2.453125" style="3" customWidth="1"/>
    <col min="5281" max="5281" width="2.36328125" style="3" customWidth="1"/>
    <col min="5282" max="5282" width="2.08984375" style="3" customWidth="1"/>
    <col min="5283" max="5293" width="2.36328125" style="3" customWidth="1"/>
    <col min="5294" max="5294" width="1.7265625" style="3" customWidth="1"/>
    <col min="5295" max="5295" width="2.36328125" style="3" customWidth="1"/>
    <col min="5296" max="5296" width="1.6328125" style="3" customWidth="1"/>
    <col min="5297" max="5302" width="2.36328125" style="3" customWidth="1"/>
    <col min="5303" max="5512" width="2.26953125" style="3"/>
    <col min="5513" max="5513" width="2.6328125" style="3" customWidth="1"/>
    <col min="5514" max="5535" width="2.36328125" style="3" customWidth="1"/>
    <col min="5536" max="5536" width="2.453125" style="3" customWidth="1"/>
    <col min="5537" max="5537" width="2.36328125" style="3" customWidth="1"/>
    <col min="5538" max="5538" width="2.08984375" style="3" customWidth="1"/>
    <col min="5539" max="5549" width="2.36328125" style="3" customWidth="1"/>
    <col min="5550" max="5550" width="1.7265625" style="3" customWidth="1"/>
    <col min="5551" max="5551" width="2.36328125" style="3" customWidth="1"/>
    <col min="5552" max="5552" width="1.6328125" style="3" customWidth="1"/>
    <col min="5553" max="5558" width="2.36328125" style="3" customWidth="1"/>
    <col min="5559" max="5768" width="2.26953125" style="3"/>
    <col min="5769" max="5769" width="2.6328125" style="3" customWidth="1"/>
    <col min="5770" max="5791" width="2.36328125" style="3" customWidth="1"/>
    <col min="5792" max="5792" width="2.453125" style="3" customWidth="1"/>
    <col min="5793" max="5793" width="2.36328125" style="3" customWidth="1"/>
    <col min="5794" max="5794" width="2.08984375" style="3" customWidth="1"/>
    <col min="5795" max="5805" width="2.36328125" style="3" customWidth="1"/>
    <col min="5806" max="5806" width="1.7265625" style="3" customWidth="1"/>
    <col min="5807" max="5807" width="2.36328125" style="3" customWidth="1"/>
    <col min="5808" max="5808" width="1.6328125" style="3" customWidth="1"/>
    <col min="5809" max="5814" width="2.36328125" style="3" customWidth="1"/>
    <col min="5815" max="6024" width="2.26953125" style="3"/>
    <col min="6025" max="6025" width="2.6328125" style="3" customWidth="1"/>
    <col min="6026" max="6047" width="2.36328125" style="3" customWidth="1"/>
    <col min="6048" max="6048" width="2.453125" style="3" customWidth="1"/>
    <col min="6049" max="6049" width="2.36328125" style="3" customWidth="1"/>
    <col min="6050" max="6050" width="2.08984375" style="3" customWidth="1"/>
    <col min="6051" max="6061" width="2.36328125" style="3" customWidth="1"/>
    <col min="6062" max="6062" width="1.7265625" style="3" customWidth="1"/>
    <col min="6063" max="6063" width="2.36328125" style="3" customWidth="1"/>
    <col min="6064" max="6064" width="1.6328125" style="3" customWidth="1"/>
    <col min="6065" max="6070" width="2.36328125" style="3" customWidth="1"/>
    <col min="6071" max="6280" width="2.26953125" style="3"/>
    <col min="6281" max="6281" width="2.6328125" style="3" customWidth="1"/>
    <col min="6282" max="6303" width="2.36328125" style="3" customWidth="1"/>
    <col min="6304" max="6304" width="2.453125" style="3" customWidth="1"/>
    <col min="6305" max="6305" width="2.36328125" style="3" customWidth="1"/>
    <col min="6306" max="6306" width="2.08984375" style="3" customWidth="1"/>
    <col min="6307" max="6317" width="2.36328125" style="3" customWidth="1"/>
    <col min="6318" max="6318" width="1.7265625" style="3" customWidth="1"/>
    <col min="6319" max="6319" width="2.36328125" style="3" customWidth="1"/>
    <col min="6320" max="6320" width="1.6328125" style="3" customWidth="1"/>
    <col min="6321" max="6326" width="2.36328125" style="3" customWidth="1"/>
    <col min="6327" max="6536" width="2.26953125" style="3"/>
    <col min="6537" max="6537" width="2.6328125" style="3" customWidth="1"/>
    <col min="6538" max="6559" width="2.36328125" style="3" customWidth="1"/>
    <col min="6560" max="6560" width="2.453125" style="3" customWidth="1"/>
    <col min="6561" max="6561" width="2.36328125" style="3" customWidth="1"/>
    <col min="6562" max="6562" width="2.08984375" style="3" customWidth="1"/>
    <col min="6563" max="6573" width="2.36328125" style="3" customWidth="1"/>
    <col min="6574" max="6574" width="1.7265625" style="3" customWidth="1"/>
    <col min="6575" max="6575" width="2.36328125" style="3" customWidth="1"/>
    <col min="6576" max="6576" width="1.6328125" style="3" customWidth="1"/>
    <col min="6577" max="6582" width="2.36328125" style="3" customWidth="1"/>
    <col min="6583" max="6792" width="2.26953125" style="3"/>
    <col min="6793" max="6793" width="2.6328125" style="3" customWidth="1"/>
    <col min="6794" max="6815" width="2.36328125" style="3" customWidth="1"/>
    <col min="6816" max="6816" width="2.453125" style="3" customWidth="1"/>
    <col min="6817" max="6817" width="2.36328125" style="3" customWidth="1"/>
    <col min="6818" max="6818" width="2.08984375" style="3" customWidth="1"/>
    <col min="6819" max="6829" width="2.36328125" style="3" customWidth="1"/>
    <col min="6830" max="6830" width="1.7265625" style="3" customWidth="1"/>
    <col min="6831" max="6831" width="2.36328125" style="3" customWidth="1"/>
    <col min="6832" max="6832" width="1.6328125" style="3" customWidth="1"/>
    <col min="6833" max="6838" width="2.36328125" style="3" customWidth="1"/>
    <col min="6839" max="7048" width="2.26953125" style="3"/>
    <col min="7049" max="7049" width="2.6328125" style="3" customWidth="1"/>
    <col min="7050" max="7071" width="2.36328125" style="3" customWidth="1"/>
    <col min="7072" max="7072" width="2.453125" style="3" customWidth="1"/>
    <col min="7073" max="7073" width="2.36328125" style="3" customWidth="1"/>
    <col min="7074" max="7074" width="2.08984375" style="3" customWidth="1"/>
    <col min="7075" max="7085" width="2.36328125" style="3" customWidth="1"/>
    <col min="7086" max="7086" width="1.7265625" style="3" customWidth="1"/>
    <col min="7087" max="7087" width="2.36328125" style="3" customWidth="1"/>
    <col min="7088" max="7088" width="1.6328125" style="3" customWidth="1"/>
    <col min="7089" max="7094" width="2.36328125" style="3" customWidth="1"/>
    <col min="7095" max="7304" width="2.26953125" style="3"/>
    <col min="7305" max="7305" width="2.6328125" style="3" customWidth="1"/>
    <col min="7306" max="7327" width="2.36328125" style="3" customWidth="1"/>
    <col min="7328" max="7328" width="2.453125" style="3" customWidth="1"/>
    <col min="7329" max="7329" width="2.36328125" style="3" customWidth="1"/>
    <col min="7330" max="7330" width="2.08984375" style="3" customWidth="1"/>
    <col min="7331" max="7341" width="2.36328125" style="3" customWidth="1"/>
    <col min="7342" max="7342" width="1.7265625" style="3" customWidth="1"/>
    <col min="7343" max="7343" width="2.36328125" style="3" customWidth="1"/>
    <col min="7344" max="7344" width="1.6328125" style="3" customWidth="1"/>
    <col min="7345" max="7350" width="2.36328125" style="3" customWidth="1"/>
    <col min="7351" max="7560" width="2.26953125" style="3"/>
    <col min="7561" max="7561" width="2.6328125" style="3" customWidth="1"/>
    <col min="7562" max="7583" width="2.36328125" style="3" customWidth="1"/>
    <col min="7584" max="7584" width="2.453125" style="3" customWidth="1"/>
    <col min="7585" max="7585" width="2.36328125" style="3" customWidth="1"/>
    <col min="7586" max="7586" width="2.08984375" style="3" customWidth="1"/>
    <col min="7587" max="7597" width="2.36328125" style="3" customWidth="1"/>
    <col min="7598" max="7598" width="1.7265625" style="3" customWidth="1"/>
    <col min="7599" max="7599" width="2.36328125" style="3" customWidth="1"/>
    <col min="7600" max="7600" width="1.6328125" style="3" customWidth="1"/>
    <col min="7601" max="7606" width="2.36328125" style="3" customWidth="1"/>
    <col min="7607" max="7816" width="2.26953125" style="3"/>
    <col min="7817" max="7817" width="2.6328125" style="3" customWidth="1"/>
    <col min="7818" max="7839" width="2.36328125" style="3" customWidth="1"/>
    <col min="7840" max="7840" width="2.453125" style="3" customWidth="1"/>
    <col min="7841" max="7841" width="2.36328125" style="3" customWidth="1"/>
    <col min="7842" max="7842" width="2.08984375" style="3" customWidth="1"/>
    <col min="7843" max="7853" width="2.36328125" style="3" customWidth="1"/>
    <col min="7854" max="7854" width="1.7265625" style="3" customWidth="1"/>
    <col min="7855" max="7855" width="2.36328125" style="3" customWidth="1"/>
    <col min="7856" max="7856" width="1.6328125" style="3" customWidth="1"/>
    <col min="7857" max="7862" width="2.36328125" style="3" customWidth="1"/>
    <col min="7863" max="8072" width="2.26953125" style="3"/>
    <col min="8073" max="8073" width="2.6328125" style="3" customWidth="1"/>
    <col min="8074" max="8095" width="2.36328125" style="3" customWidth="1"/>
    <col min="8096" max="8096" width="2.453125" style="3" customWidth="1"/>
    <col min="8097" max="8097" width="2.36328125" style="3" customWidth="1"/>
    <col min="8098" max="8098" width="2.08984375" style="3" customWidth="1"/>
    <col min="8099" max="8109" width="2.36328125" style="3" customWidth="1"/>
    <col min="8110" max="8110" width="1.7265625" style="3" customWidth="1"/>
    <col min="8111" max="8111" width="2.36328125" style="3" customWidth="1"/>
    <col min="8112" max="8112" width="1.6328125" style="3" customWidth="1"/>
    <col min="8113" max="8118" width="2.36328125" style="3" customWidth="1"/>
    <col min="8119" max="8328" width="2.26953125" style="3"/>
    <col min="8329" max="8329" width="2.6328125" style="3" customWidth="1"/>
    <col min="8330" max="8351" width="2.36328125" style="3" customWidth="1"/>
    <col min="8352" max="8352" width="2.453125" style="3" customWidth="1"/>
    <col min="8353" max="8353" width="2.36328125" style="3" customWidth="1"/>
    <col min="8354" max="8354" width="2.08984375" style="3" customWidth="1"/>
    <col min="8355" max="8365" width="2.36328125" style="3" customWidth="1"/>
    <col min="8366" max="8366" width="1.7265625" style="3" customWidth="1"/>
    <col min="8367" max="8367" width="2.36328125" style="3" customWidth="1"/>
    <col min="8368" max="8368" width="1.6328125" style="3" customWidth="1"/>
    <col min="8369" max="8374" width="2.36328125" style="3" customWidth="1"/>
    <col min="8375" max="8584" width="2.26953125" style="3"/>
    <col min="8585" max="8585" width="2.6328125" style="3" customWidth="1"/>
    <col min="8586" max="8607" width="2.36328125" style="3" customWidth="1"/>
    <col min="8608" max="8608" width="2.453125" style="3" customWidth="1"/>
    <col min="8609" max="8609" width="2.36328125" style="3" customWidth="1"/>
    <col min="8610" max="8610" width="2.08984375" style="3" customWidth="1"/>
    <col min="8611" max="8621" width="2.36328125" style="3" customWidth="1"/>
    <col min="8622" max="8622" width="1.7265625" style="3" customWidth="1"/>
    <col min="8623" max="8623" width="2.36328125" style="3" customWidth="1"/>
    <col min="8624" max="8624" width="1.6328125" style="3" customWidth="1"/>
    <col min="8625" max="8630" width="2.36328125" style="3" customWidth="1"/>
    <col min="8631" max="8840" width="2.26953125" style="3"/>
    <col min="8841" max="8841" width="2.6328125" style="3" customWidth="1"/>
    <col min="8842" max="8863" width="2.36328125" style="3" customWidth="1"/>
    <col min="8864" max="8864" width="2.453125" style="3" customWidth="1"/>
    <col min="8865" max="8865" width="2.36328125" style="3" customWidth="1"/>
    <col min="8866" max="8866" width="2.08984375" style="3" customWidth="1"/>
    <col min="8867" max="8877" width="2.36328125" style="3" customWidth="1"/>
    <col min="8878" max="8878" width="1.7265625" style="3" customWidth="1"/>
    <col min="8879" max="8879" width="2.36328125" style="3" customWidth="1"/>
    <col min="8880" max="8880" width="1.6328125" style="3" customWidth="1"/>
    <col min="8881" max="8886" width="2.36328125" style="3" customWidth="1"/>
    <col min="8887" max="9096" width="2.26953125" style="3"/>
    <col min="9097" max="9097" width="2.6328125" style="3" customWidth="1"/>
    <col min="9098" max="9119" width="2.36328125" style="3" customWidth="1"/>
    <col min="9120" max="9120" width="2.453125" style="3" customWidth="1"/>
    <col min="9121" max="9121" width="2.36328125" style="3" customWidth="1"/>
    <col min="9122" max="9122" width="2.08984375" style="3" customWidth="1"/>
    <col min="9123" max="9133" width="2.36328125" style="3" customWidth="1"/>
    <col min="9134" max="9134" width="1.7265625" style="3" customWidth="1"/>
    <col min="9135" max="9135" width="2.36328125" style="3" customWidth="1"/>
    <col min="9136" max="9136" width="1.6328125" style="3" customWidth="1"/>
    <col min="9137" max="9142" width="2.36328125" style="3" customWidth="1"/>
    <col min="9143" max="9352" width="2.26953125" style="3"/>
    <col min="9353" max="9353" width="2.6328125" style="3" customWidth="1"/>
    <col min="9354" max="9375" width="2.36328125" style="3" customWidth="1"/>
    <col min="9376" max="9376" width="2.453125" style="3" customWidth="1"/>
    <col min="9377" max="9377" width="2.36328125" style="3" customWidth="1"/>
    <col min="9378" max="9378" width="2.08984375" style="3" customWidth="1"/>
    <col min="9379" max="9389" width="2.36328125" style="3" customWidth="1"/>
    <col min="9390" max="9390" width="1.7265625" style="3" customWidth="1"/>
    <col min="9391" max="9391" width="2.36328125" style="3" customWidth="1"/>
    <col min="9392" max="9392" width="1.6328125" style="3" customWidth="1"/>
    <col min="9393" max="9398" width="2.36328125" style="3" customWidth="1"/>
    <col min="9399" max="9608" width="2.26953125" style="3"/>
    <col min="9609" max="9609" width="2.6328125" style="3" customWidth="1"/>
    <col min="9610" max="9631" width="2.36328125" style="3" customWidth="1"/>
    <col min="9632" max="9632" width="2.453125" style="3" customWidth="1"/>
    <col min="9633" max="9633" width="2.36328125" style="3" customWidth="1"/>
    <col min="9634" max="9634" width="2.08984375" style="3" customWidth="1"/>
    <col min="9635" max="9645" width="2.36328125" style="3" customWidth="1"/>
    <col min="9646" max="9646" width="1.7265625" style="3" customWidth="1"/>
    <col min="9647" max="9647" width="2.36328125" style="3" customWidth="1"/>
    <col min="9648" max="9648" width="1.6328125" style="3" customWidth="1"/>
    <col min="9649" max="9654" width="2.36328125" style="3" customWidth="1"/>
    <col min="9655" max="9864" width="2.26953125" style="3"/>
    <col min="9865" max="9865" width="2.6328125" style="3" customWidth="1"/>
    <col min="9866" max="9887" width="2.36328125" style="3" customWidth="1"/>
    <col min="9888" max="9888" width="2.453125" style="3" customWidth="1"/>
    <col min="9889" max="9889" width="2.36328125" style="3" customWidth="1"/>
    <col min="9890" max="9890" width="2.08984375" style="3" customWidth="1"/>
    <col min="9891" max="9901" width="2.36328125" style="3" customWidth="1"/>
    <col min="9902" max="9902" width="1.7265625" style="3" customWidth="1"/>
    <col min="9903" max="9903" width="2.36328125" style="3" customWidth="1"/>
    <col min="9904" max="9904" width="1.6328125" style="3" customWidth="1"/>
    <col min="9905" max="9910" width="2.36328125" style="3" customWidth="1"/>
    <col min="9911" max="10120" width="2.26953125" style="3"/>
    <col min="10121" max="10121" width="2.6328125" style="3" customWidth="1"/>
    <col min="10122" max="10143" width="2.36328125" style="3" customWidth="1"/>
    <col min="10144" max="10144" width="2.453125" style="3" customWidth="1"/>
    <col min="10145" max="10145" width="2.36328125" style="3" customWidth="1"/>
    <col min="10146" max="10146" width="2.08984375" style="3" customWidth="1"/>
    <col min="10147" max="10157" width="2.36328125" style="3" customWidth="1"/>
    <col min="10158" max="10158" width="1.7265625" style="3" customWidth="1"/>
    <col min="10159" max="10159" width="2.36328125" style="3" customWidth="1"/>
    <col min="10160" max="10160" width="1.6328125" style="3" customWidth="1"/>
    <col min="10161" max="10166" width="2.36328125" style="3" customWidth="1"/>
    <col min="10167" max="10376" width="2.26953125" style="3"/>
    <col min="10377" max="10377" width="2.6328125" style="3" customWidth="1"/>
    <col min="10378" max="10399" width="2.36328125" style="3" customWidth="1"/>
    <col min="10400" max="10400" width="2.453125" style="3" customWidth="1"/>
    <col min="10401" max="10401" width="2.36328125" style="3" customWidth="1"/>
    <col min="10402" max="10402" width="2.08984375" style="3" customWidth="1"/>
    <col min="10403" max="10413" width="2.36328125" style="3" customWidth="1"/>
    <col min="10414" max="10414" width="1.7265625" style="3" customWidth="1"/>
    <col min="10415" max="10415" width="2.36328125" style="3" customWidth="1"/>
    <col min="10416" max="10416" width="1.6328125" style="3" customWidth="1"/>
    <col min="10417" max="10422" width="2.36328125" style="3" customWidth="1"/>
    <col min="10423" max="10632" width="2.26953125" style="3"/>
    <col min="10633" max="10633" width="2.6328125" style="3" customWidth="1"/>
    <col min="10634" max="10655" width="2.36328125" style="3" customWidth="1"/>
    <col min="10656" max="10656" width="2.453125" style="3" customWidth="1"/>
    <col min="10657" max="10657" width="2.36328125" style="3" customWidth="1"/>
    <col min="10658" max="10658" width="2.08984375" style="3" customWidth="1"/>
    <col min="10659" max="10669" width="2.36328125" style="3" customWidth="1"/>
    <col min="10670" max="10670" width="1.7265625" style="3" customWidth="1"/>
    <col min="10671" max="10671" width="2.36328125" style="3" customWidth="1"/>
    <col min="10672" max="10672" width="1.6328125" style="3" customWidth="1"/>
    <col min="10673" max="10678" width="2.36328125" style="3" customWidth="1"/>
    <col min="10679" max="10888" width="2.26953125" style="3"/>
    <col min="10889" max="10889" width="2.6328125" style="3" customWidth="1"/>
    <col min="10890" max="10911" width="2.36328125" style="3" customWidth="1"/>
    <col min="10912" max="10912" width="2.453125" style="3" customWidth="1"/>
    <col min="10913" max="10913" width="2.36328125" style="3" customWidth="1"/>
    <col min="10914" max="10914" width="2.08984375" style="3" customWidth="1"/>
    <col min="10915" max="10925" width="2.36328125" style="3" customWidth="1"/>
    <col min="10926" max="10926" width="1.7265625" style="3" customWidth="1"/>
    <col min="10927" max="10927" width="2.36328125" style="3" customWidth="1"/>
    <col min="10928" max="10928" width="1.6328125" style="3" customWidth="1"/>
    <col min="10929" max="10934" width="2.36328125" style="3" customWidth="1"/>
    <col min="10935" max="11144" width="2.26953125" style="3"/>
    <col min="11145" max="11145" width="2.6328125" style="3" customWidth="1"/>
    <col min="11146" max="11167" width="2.36328125" style="3" customWidth="1"/>
    <col min="11168" max="11168" width="2.453125" style="3" customWidth="1"/>
    <col min="11169" max="11169" width="2.36328125" style="3" customWidth="1"/>
    <col min="11170" max="11170" width="2.08984375" style="3" customWidth="1"/>
    <col min="11171" max="11181" width="2.36328125" style="3" customWidth="1"/>
    <col min="11182" max="11182" width="1.7265625" style="3" customWidth="1"/>
    <col min="11183" max="11183" width="2.36328125" style="3" customWidth="1"/>
    <col min="11184" max="11184" width="1.6328125" style="3" customWidth="1"/>
    <col min="11185" max="11190" width="2.36328125" style="3" customWidth="1"/>
    <col min="11191" max="11400" width="2.26953125" style="3"/>
    <col min="11401" max="11401" width="2.6328125" style="3" customWidth="1"/>
    <col min="11402" max="11423" width="2.36328125" style="3" customWidth="1"/>
    <col min="11424" max="11424" width="2.453125" style="3" customWidth="1"/>
    <col min="11425" max="11425" width="2.36328125" style="3" customWidth="1"/>
    <col min="11426" max="11426" width="2.08984375" style="3" customWidth="1"/>
    <col min="11427" max="11437" width="2.36328125" style="3" customWidth="1"/>
    <col min="11438" max="11438" width="1.7265625" style="3" customWidth="1"/>
    <col min="11439" max="11439" width="2.36328125" style="3" customWidth="1"/>
    <col min="11440" max="11440" width="1.6328125" style="3" customWidth="1"/>
    <col min="11441" max="11446" width="2.36328125" style="3" customWidth="1"/>
    <col min="11447" max="11656" width="2.26953125" style="3"/>
    <col min="11657" max="11657" width="2.6328125" style="3" customWidth="1"/>
    <col min="11658" max="11679" width="2.36328125" style="3" customWidth="1"/>
    <col min="11680" max="11680" width="2.453125" style="3" customWidth="1"/>
    <col min="11681" max="11681" width="2.36328125" style="3" customWidth="1"/>
    <col min="11682" max="11682" width="2.08984375" style="3" customWidth="1"/>
    <col min="11683" max="11693" width="2.36328125" style="3" customWidth="1"/>
    <col min="11694" max="11694" width="1.7265625" style="3" customWidth="1"/>
    <col min="11695" max="11695" width="2.36328125" style="3" customWidth="1"/>
    <col min="11696" max="11696" width="1.6328125" style="3" customWidth="1"/>
    <col min="11697" max="11702" width="2.36328125" style="3" customWidth="1"/>
    <col min="11703" max="11912" width="2.26953125" style="3"/>
    <col min="11913" max="11913" width="2.6328125" style="3" customWidth="1"/>
    <col min="11914" max="11935" width="2.36328125" style="3" customWidth="1"/>
    <col min="11936" max="11936" width="2.453125" style="3" customWidth="1"/>
    <col min="11937" max="11937" width="2.36328125" style="3" customWidth="1"/>
    <col min="11938" max="11938" width="2.08984375" style="3" customWidth="1"/>
    <col min="11939" max="11949" width="2.36328125" style="3" customWidth="1"/>
    <col min="11950" max="11950" width="1.7265625" style="3" customWidth="1"/>
    <col min="11951" max="11951" width="2.36328125" style="3" customWidth="1"/>
    <col min="11952" max="11952" width="1.6328125" style="3" customWidth="1"/>
    <col min="11953" max="11958" width="2.36328125" style="3" customWidth="1"/>
    <col min="11959" max="12168" width="2.26953125" style="3"/>
    <col min="12169" max="12169" width="2.6328125" style="3" customWidth="1"/>
    <col min="12170" max="12191" width="2.36328125" style="3" customWidth="1"/>
    <col min="12192" max="12192" width="2.453125" style="3" customWidth="1"/>
    <col min="12193" max="12193" width="2.36328125" style="3" customWidth="1"/>
    <col min="12194" max="12194" width="2.08984375" style="3" customWidth="1"/>
    <col min="12195" max="12205" width="2.36328125" style="3" customWidth="1"/>
    <col min="12206" max="12206" width="1.7265625" style="3" customWidth="1"/>
    <col min="12207" max="12207" width="2.36328125" style="3" customWidth="1"/>
    <col min="12208" max="12208" width="1.6328125" style="3" customWidth="1"/>
    <col min="12209" max="12214" width="2.36328125" style="3" customWidth="1"/>
    <col min="12215" max="12424" width="2.26953125" style="3"/>
    <col min="12425" max="12425" width="2.6328125" style="3" customWidth="1"/>
    <col min="12426" max="12447" width="2.36328125" style="3" customWidth="1"/>
    <col min="12448" max="12448" width="2.453125" style="3" customWidth="1"/>
    <col min="12449" max="12449" width="2.36328125" style="3" customWidth="1"/>
    <col min="12450" max="12450" width="2.08984375" style="3" customWidth="1"/>
    <col min="12451" max="12461" width="2.36328125" style="3" customWidth="1"/>
    <col min="12462" max="12462" width="1.7265625" style="3" customWidth="1"/>
    <col min="12463" max="12463" width="2.36328125" style="3" customWidth="1"/>
    <col min="12464" max="12464" width="1.6328125" style="3" customWidth="1"/>
    <col min="12465" max="12470" width="2.36328125" style="3" customWidth="1"/>
    <col min="12471" max="12680" width="2.26953125" style="3"/>
    <col min="12681" max="12681" width="2.6328125" style="3" customWidth="1"/>
    <col min="12682" max="12703" width="2.36328125" style="3" customWidth="1"/>
    <col min="12704" max="12704" width="2.453125" style="3" customWidth="1"/>
    <col min="12705" max="12705" width="2.36328125" style="3" customWidth="1"/>
    <col min="12706" max="12706" width="2.08984375" style="3" customWidth="1"/>
    <col min="12707" max="12717" width="2.36328125" style="3" customWidth="1"/>
    <col min="12718" max="12718" width="1.7265625" style="3" customWidth="1"/>
    <col min="12719" max="12719" width="2.36328125" style="3" customWidth="1"/>
    <col min="12720" max="12720" width="1.6328125" style="3" customWidth="1"/>
    <col min="12721" max="12726" width="2.36328125" style="3" customWidth="1"/>
    <col min="12727" max="12936" width="2.26953125" style="3"/>
    <col min="12937" max="12937" width="2.6328125" style="3" customWidth="1"/>
    <col min="12938" max="12959" width="2.36328125" style="3" customWidth="1"/>
    <col min="12960" max="12960" width="2.453125" style="3" customWidth="1"/>
    <col min="12961" max="12961" width="2.36328125" style="3" customWidth="1"/>
    <col min="12962" max="12962" width="2.08984375" style="3" customWidth="1"/>
    <col min="12963" max="12973" width="2.36328125" style="3" customWidth="1"/>
    <col min="12974" max="12974" width="1.7265625" style="3" customWidth="1"/>
    <col min="12975" max="12975" width="2.36328125" style="3" customWidth="1"/>
    <col min="12976" max="12976" width="1.6328125" style="3" customWidth="1"/>
    <col min="12977" max="12982" width="2.36328125" style="3" customWidth="1"/>
    <col min="12983" max="13192" width="2.26953125" style="3"/>
    <col min="13193" max="13193" width="2.6328125" style="3" customWidth="1"/>
    <col min="13194" max="13215" width="2.36328125" style="3" customWidth="1"/>
    <col min="13216" max="13216" width="2.453125" style="3" customWidth="1"/>
    <col min="13217" max="13217" width="2.36328125" style="3" customWidth="1"/>
    <col min="13218" max="13218" width="2.08984375" style="3" customWidth="1"/>
    <col min="13219" max="13229" width="2.36328125" style="3" customWidth="1"/>
    <col min="13230" max="13230" width="1.7265625" style="3" customWidth="1"/>
    <col min="13231" max="13231" width="2.36328125" style="3" customWidth="1"/>
    <col min="13232" max="13232" width="1.6328125" style="3" customWidth="1"/>
    <col min="13233" max="13238" width="2.36328125" style="3" customWidth="1"/>
    <col min="13239" max="13448" width="2.26953125" style="3"/>
    <col min="13449" max="13449" width="2.6328125" style="3" customWidth="1"/>
    <col min="13450" max="13471" width="2.36328125" style="3" customWidth="1"/>
    <col min="13472" max="13472" width="2.453125" style="3" customWidth="1"/>
    <col min="13473" max="13473" width="2.36328125" style="3" customWidth="1"/>
    <col min="13474" max="13474" width="2.08984375" style="3" customWidth="1"/>
    <col min="13475" max="13485" width="2.36328125" style="3" customWidth="1"/>
    <col min="13486" max="13486" width="1.7265625" style="3" customWidth="1"/>
    <col min="13487" max="13487" width="2.36328125" style="3" customWidth="1"/>
    <col min="13488" max="13488" width="1.6328125" style="3" customWidth="1"/>
    <col min="13489" max="13494" width="2.36328125" style="3" customWidth="1"/>
    <col min="13495" max="13704" width="2.26953125" style="3"/>
    <col min="13705" max="13705" width="2.6328125" style="3" customWidth="1"/>
    <col min="13706" max="13727" width="2.36328125" style="3" customWidth="1"/>
    <col min="13728" max="13728" width="2.453125" style="3" customWidth="1"/>
    <col min="13729" max="13729" width="2.36328125" style="3" customWidth="1"/>
    <col min="13730" max="13730" width="2.08984375" style="3" customWidth="1"/>
    <col min="13731" max="13741" width="2.36328125" style="3" customWidth="1"/>
    <col min="13742" max="13742" width="1.7265625" style="3" customWidth="1"/>
    <col min="13743" max="13743" width="2.36328125" style="3" customWidth="1"/>
    <col min="13744" max="13744" width="1.6328125" style="3" customWidth="1"/>
    <col min="13745" max="13750" width="2.36328125" style="3" customWidth="1"/>
    <col min="13751" max="13960" width="2.26953125" style="3"/>
    <col min="13961" max="13961" width="2.6328125" style="3" customWidth="1"/>
    <col min="13962" max="13983" width="2.36328125" style="3" customWidth="1"/>
    <col min="13984" max="13984" width="2.453125" style="3" customWidth="1"/>
    <col min="13985" max="13985" width="2.36328125" style="3" customWidth="1"/>
    <col min="13986" max="13986" width="2.08984375" style="3" customWidth="1"/>
    <col min="13987" max="13997" width="2.36328125" style="3" customWidth="1"/>
    <col min="13998" max="13998" width="1.7265625" style="3" customWidth="1"/>
    <col min="13999" max="13999" width="2.36328125" style="3" customWidth="1"/>
    <col min="14000" max="14000" width="1.6328125" style="3" customWidth="1"/>
    <col min="14001" max="14006" width="2.36328125" style="3" customWidth="1"/>
    <col min="14007" max="14216" width="2.26953125" style="3"/>
    <col min="14217" max="14217" width="2.6328125" style="3" customWidth="1"/>
    <col min="14218" max="14239" width="2.36328125" style="3" customWidth="1"/>
    <col min="14240" max="14240" width="2.453125" style="3" customWidth="1"/>
    <col min="14241" max="14241" width="2.36328125" style="3" customWidth="1"/>
    <col min="14242" max="14242" width="2.08984375" style="3" customWidth="1"/>
    <col min="14243" max="14253" width="2.36328125" style="3" customWidth="1"/>
    <col min="14254" max="14254" width="1.7265625" style="3" customWidth="1"/>
    <col min="14255" max="14255" width="2.36328125" style="3" customWidth="1"/>
    <col min="14256" max="14256" width="1.6328125" style="3" customWidth="1"/>
    <col min="14257" max="14262" width="2.36328125" style="3" customWidth="1"/>
    <col min="14263" max="14472" width="2.26953125" style="3"/>
    <col min="14473" max="14473" width="2.6328125" style="3" customWidth="1"/>
    <col min="14474" max="14495" width="2.36328125" style="3" customWidth="1"/>
    <col min="14496" max="14496" width="2.453125" style="3" customWidth="1"/>
    <col min="14497" max="14497" width="2.36328125" style="3" customWidth="1"/>
    <col min="14498" max="14498" width="2.08984375" style="3" customWidth="1"/>
    <col min="14499" max="14509" width="2.36328125" style="3" customWidth="1"/>
    <col min="14510" max="14510" width="1.7265625" style="3" customWidth="1"/>
    <col min="14511" max="14511" width="2.36328125" style="3" customWidth="1"/>
    <col min="14512" max="14512" width="1.6328125" style="3" customWidth="1"/>
    <col min="14513" max="14518" width="2.36328125" style="3" customWidth="1"/>
    <col min="14519" max="14728" width="2.26953125" style="3"/>
    <col min="14729" max="14729" width="2.6328125" style="3" customWidth="1"/>
    <col min="14730" max="14751" width="2.36328125" style="3" customWidth="1"/>
    <col min="14752" max="14752" width="2.453125" style="3" customWidth="1"/>
    <col min="14753" max="14753" width="2.36328125" style="3" customWidth="1"/>
    <col min="14754" max="14754" width="2.08984375" style="3" customWidth="1"/>
    <col min="14755" max="14765" width="2.36328125" style="3" customWidth="1"/>
    <col min="14766" max="14766" width="1.7265625" style="3" customWidth="1"/>
    <col min="14767" max="14767" width="2.36328125" style="3" customWidth="1"/>
    <col min="14768" max="14768" width="1.6328125" style="3" customWidth="1"/>
    <col min="14769" max="14774" width="2.36328125" style="3" customWidth="1"/>
    <col min="14775" max="14984" width="2.26953125" style="3"/>
    <col min="14985" max="14985" width="2.6328125" style="3" customWidth="1"/>
    <col min="14986" max="15007" width="2.36328125" style="3" customWidth="1"/>
    <col min="15008" max="15008" width="2.453125" style="3" customWidth="1"/>
    <col min="15009" max="15009" width="2.36328125" style="3" customWidth="1"/>
    <col min="15010" max="15010" width="2.08984375" style="3" customWidth="1"/>
    <col min="15011" max="15021" width="2.36328125" style="3" customWidth="1"/>
    <col min="15022" max="15022" width="1.7265625" style="3" customWidth="1"/>
    <col min="15023" max="15023" width="2.36328125" style="3" customWidth="1"/>
    <col min="15024" max="15024" width="1.6328125" style="3" customWidth="1"/>
    <col min="15025" max="15030" width="2.36328125" style="3" customWidth="1"/>
    <col min="15031" max="15240" width="2.26953125" style="3"/>
    <col min="15241" max="15241" width="2.6328125" style="3" customWidth="1"/>
    <col min="15242" max="15263" width="2.36328125" style="3" customWidth="1"/>
    <col min="15264" max="15264" width="2.453125" style="3" customWidth="1"/>
    <col min="15265" max="15265" width="2.36328125" style="3" customWidth="1"/>
    <col min="15266" max="15266" width="2.08984375" style="3" customWidth="1"/>
    <col min="15267" max="15277" width="2.36328125" style="3" customWidth="1"/>
    <col min="15278" max="15278" width="1.7265625" style="3" customWidth="1"/>
    <col min="15279" max="15279" width="2.36328125" style="3" customWidth="1"/>
    <col min="15280" max="15280" width="1.6328125" style="3" customWidth="1"/>
    <col min="15281" max="15286" width="2.36328125" style="3" customWidth="1"/>
    <col min="15287" max="15496" width="2.26953125" style="3"/>
    <col min="15497" max="15497" width="2.6328125" style="3" customWidth="1"/>
    <col min="15498" max="15519" width="2.36328125" style="3" customWidth="1"/>
    <col min="15520" max="15520" width="2.453125" style="3" customWidth="1"/>
    <col min="15521" max="15521" width="2.36328125" style="3" customWidth="1"/>
    <col min="15522" max="15522" width="2.08984375" style="3" customWidth="1"/>
    <col min="15523" max="15533" width="2.36328125" style="3" customWidth="1"/>
    <col min="15534" max="15534" width="1.7265625" style="3" customWidth="1"/>
    <col min="15535" max="15535" width="2.36328125" style="3" customWidth="1"/>
    <col min="15536" max="15536" width="1.6328125" style="3" customWidth="1"/>
    <col min="15537" max="15542" width="2.36328125" style="3" customWidth="1"/>
    <col min="15543" max="15752" width="2.26953125" style="3"/>
    <col min="15753" max="15753" width="2.6328125" style="3" customWidth="1"/>
    <col min="15754" max="15775" width="2.36328125" style="3" customWidth="1"/>
    <col min="15776" max="15776" width="2.453125" style="3" customWidth="1"/>
    <col min="15777" max="15777" width="2.36328125" style="3" customWidth="1"/>
    <col min="15778" max="15778" width="2.08984375" style="3" customWidth="1"/>
    <col min="15779" max="15789" width="2.36328125" style="3" customWidth="1"/>
    <col min="15790" max="15790" width="1.7265625" style="3" customWidth="1"/>
    <col min="15791" max="15791" width="2.36328125" style="3" customWidth="1"/>
    <col min="15792" max="15792" width="1.6328125" style="3" customWidth="1"/>
    <col min="15793" max="15798" width="2.36328125" style="3" customWidth="1"/>
    <col min="15799" max="16008" width="2.26953125" style="3"/>
    <col min="16009" max="16009" width="2.6328125" style="3" customWidth="1"/>
    <col min="16010" max="16031" width="2.36328125" style="3" customWidth="1"/>
    <col min="16032" max="16032" width="2.453125" style="3" customWidth="1"/>
    <col min="16033" max="16033" width="2.36328125" style="3" customWidth="1"/>
    <col min="16034" max="16034" width="2.08984375" style="3" customWidth="1"/>
    <col min="16035" max="16045" width="2.36328125" style="3" customWidth="1"/>
    <col min="16046" max="16046" width="1.7265625" style="3" customWidth="1"/>
    <col min="16047" max="16047" width="2.36328125" style="3" customWidth="1"/>
    <col min="16048" max="16048" width="1.6328125" style="3" customWidth="1"/>
    <col min="16049" max="16054" width="2.36328125" style="3" customWidth="1"/>
    <col min="16055" max="16384" width="2.26953125" style="3"/>
  </cols>
  <sheetData>
    <row r="1" spans="1:52" s="2" customFormat="1" ht="20.149999999999999" customHeight="1" x14ac:dyDescent="0.2">
      <c r="A1" s="1" t="s">
        <v>120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57"/>
      <c r="AP1" s="157"/>
      <c r="AQ1" s="157"/>
      <c r="AR1" s="157"/>
      <c r="AS1" s="157"/>
      <c r="AT1" s="157"/>
    </row>
    <row r="2" spans="1:52" s="2" customFormat="1" ht="10.5" customHeight="1" x14ac:dyDescent="0.2">
      <c r="A2" s="3"/>
      <c r="B2" s="4"/>
      <c r="C2" s="4"/>
      <c r="D2" s="4"/>
      <c r="E2" s="4"/>
      <c r="AK2" s="3"/>
      <c r="AL2" s="5"/>
      <c r="AM2" s="5"/>
      <c r="AN2" s="5"/>
      <c r="AO2" s="5"/>
      <c r="AP2" s="5"/>
      <c r="AQ2" s="5"/>
      <c r="AR2" s="5"/>
      <c r="AS2" s="5"/>
      <c r="AT2" s="5"/>
    </row>
    <row r="3" spans="1:52" s="2" customFormat="1" ht="21" customHeight="1" x14ac:dyDescent="0.2">
      <c r="A3" s="3"/>
      <c r="B3" s="4"/>
      <c r="C3" s="4"/>
      <c r="D3" s="4"/>
      <c r="E3" s="4"/>
      <c r="AJ3" s="4"/>
      <c r="AK3" s="4" t="s">
        <v>0</v>
      </c>
      <c r="AL3" s="158"/>
      <c r="AM3" s="158"/>
      <c r="AN3" s="159" t="s">
        <v>1</v>
      </c>
      <c r="AO3" s="159"/>
      <c r="AP3" s="158"/>
      <c r="AQ3" s="158"/>
      <c r="AR3" s="159" t="s">
        <v>16</v>
      </c>
      <c r="AS3" s="159"/>
      <c r="AT3" s="6" t="s">
        <v>17</v>
      </c>
    </row>
    <row r="4" spans="1:52" s="2" customFormat="1" ht="12" customHeight="1" x14ac:dyDescent="0.2">
      <c r="A4" s="7"/>
      <c r="B4" s="4"/>
      <c r="C4" s="4"/>
      <c r="D4" s="4"/>
      <c r="E4" s="4"/>
      <c r="AK4" s="3"/>
      <c r="AL4" s="5"/>
      <c r="AM4" s="5"/>
      <c r="AN4" s="5"/>
      <c r="AO4" s="5"/>
      <c r="AP4" s="5"/>
      <c r="AQ4" s="5"/>
      <c r="AR4" s="5"/>
      <c r="AS4" s="5"/>
      <c r="AT4" s="5"/>
    </row>
    <row r="5" spans="1:52" ht="24" customHeight="1" x14ac:dyDescent="0.2">
      <c r="A5" s="160" t="s">
        <v>121</v>
      </c>
      <c r="B5" s="161"/>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row>
    <row r="6" spans="1:52" ht="23.25" customHeight="1" thickBot="1"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9" t="s">
        <v>69</v>
      </c>
    </row>
    <row r="7" spans="1:52" ht="40.5" customHeight="1" x14ac:dyDescent="0.2">
      <c r="A7" s="10" t="s">
        <v>24</v>
      </c>
      <c r="B7" s="148" t="s">
        <v>62</v>
      </c>
      <c r="C7" s="149"/>
      <c r="D7" s="149"/>
      <c r="E7" s="149"/>
      <c r="F7" s="149"/>
      <c r="G7" s="149"/>
      <c r="H7" s="149"/>
      <c r="I7" s="150"/>
      <c r="J7" s="151"/>
      <c r="K7" s="152"/>
      <c r="L7" s="152"/>
      <c r="M7" s="152"/>
      <c r="N7" s="152"/>
      <c r="O7" s="152"/>
      <c r="P7" s="152"/>
      <c r="Q7" s="152"/>
      <c r="R7" s="152"/>
      <c r="S7" s="152"/>
      <c r="T7" s="152"/>
      <c r="U7" s="152"/>
      <c r="V7" s="152"/>
      <c r="W7" s="152"/>
      <c r="X7" s="11" t="s">
        <v>25</v>
      </c>
      <c r="Y7" s="153" t="s">
        <v>122</v>
      </c>
      <c r="Z7" s="153"/>
      <c r="AA7" s="153"/>
      <c r="AB7" s="153"/>
      <c r="AC7" s="153"/>
      <c r="AD7" s="153"/>
      <c r="AE7" s="154"/>
      <c r="AF7" s="155"/>
      <c r="AG7" s="155"/>
      <c r="AH7" s="155"/>
      <c r="AI7" s="155"/>
      <c r="AJ7" s="155"/>
      <c r="AK7" s="155"/>
      <c r="AL7" s="155"/>
      <c r="AM7" s="155"/>
      <c r="AN7" s="155"/>
      <c r="AO7" s="155"/>
      <c r="AP7" s="155"/>
      <c r="AQ7" s="155"/>
      <c r="AR7" s="155"/>
      <c r="AS7" s="155"/>
      <c r="AT7" s="156"/>
    </row>
    <row r="8" spans="1:52" ht="22.5" customHeight="1" x14ac:dyDescent="0.2">
      <c r="A8" s="12" t="s">
        <v>26</v>
      </c>
      <c r="B8" s="13" t="s">
        <v>52</v>
      </c>
      <c r="C8" s="14"/>
      <c r="D8" s="14"/>
      <c r="E8" s="14"/>
      <c r="F8" s="14"/>
      <c r="G8" s="14"/>
      <c r="H8" s="14"/>
      <c r="I8" s="14"/>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6"/>
    </row>
    <row r="9" spans="1:52" s="4" customFormat="1" ht="21" customHeight="1" x14ac:dyDescent="0.2">
      <c r="A9" s="17"/>
      <c r="B9" s="18" t="s">
        <v>22</v>
      </c>
      <c r="C9" s="19"/>
      <c r="D9" s="20"/>
      <c r="E9" s="20"/>
      <c r="F9" s="20"/>
      <c r="G9" s="20"/>
      <c r="H9" s="20"/>
      <c r="I9" s="20"/>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2"/>
    </row>
    <row r="10" spans="1:52" s="4" customFormat="1" ht="15" customHeight="1" x14ac:dyDescent="0.2">
      <c r="A10" s="17"/>
      <c r="B10" s="23"/>
      <c r="C10" s="24"/>
      <c r="D10" s="25"/>
      <c r="E10" s="25"/>
      <c r="F10" s="25"/>
      <c r="G10" s="25"/>
      <c r="H10" s="25"/>
      <c r="I10" s="25"/>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7"/>
      <c r="AU10" s="28"/>
    </row>
    <row r="11" spans="1:52" s="4" customFormat="1" ht="15" customHeight="1" x14ac:dyDescent="0.35">
      <c r="A11" s="29"/>
      <c r="B11" s="30"/>
      <c r="C11" s="31"/>
      <c r="D11" s="25"/>
      <c r="E11" s="32" t="s">
        <v>34</v>
      </c>
      <c r="F11" s="32"/>
      <c r="G11" s="32"/>
      <c r="H11" s="32"/>
      <c r="I11" s="32"/>
      <c r="J11" s="32"/>
      <c r="K11" s="32"/>
      <c r="L11" s="33"/>
      <c r="M11" s="34" t="s">
        <v>37</v>
      </c>
      <c r="N11" s="34"/>
      <c r="O11" s="34"/>
      <c r="P11" s="34"/>
      <c r="Q11" s="34"/>
      <c r="R11" s="34"/>
      <c r="S11" s="35"/>
      <c r="T11" s="35"/>
      <c r="U11" s="36" t="s">
        <v>36</v>
      </c>
      <c r="V11" s="36"/>
      <c r="W11" s="36"/>
      <c r="X11" s="36"/>
      <c r="Y11" s="36"/>
      <c r="Z11" s="36"/>
      <c r="AA11" s="36"/>
      <c r="AB11" s="35"/>
      <c r="AC11" s="34" t="s">
        <v>38</v>
      </c>
      <c r="AD11" s="34"/>
      <c r="AE11" s="34"/>
      <c r="AF11" s="34"/>
      <c r="AG11" s="34"/>
      <c r="AH11" s="34"/>
      <c r="AI11" s="35"/>
      <c r="AJ11" s="35"/>
      <c r="AK11" s="34" t="s">
        <v>39</v>
      </c>
      <c r="AL11" s="34"/>
      <c r="AM11" s="34"/>
      <c r="AN11" s="34"/>
      <c r="AO11" s="34"/>
      <c r="AP11" s="34"/>
      <c r="AQ11" s="26"/>
      <c r="AR11" s="26"/>
      <c r="AS11" s="26"/>
      <c r="AT11" s="27"/>
    </row>
    <row r="12" spans="1:52" s="4" customFormat="1" ht="37.5" customHeight="1" x14ac:dyDescent="0.2">
      <c r="A12" s="29"/>
      <c r="B12" s="30"/>
      <c r="C12" s="31"/>
      <c r="D12" s="25" t="s">
        <v>44</v>
      </c>
      <c r="E12" s="162"/>
      <c r="F12" s="163"/>
      <c r="G12" s="163"/>
      <c r="H12" s="163"/>
      <c r="I12" s="163"/>
      <c r="J12" s="163"/>
      <c r="K12" s="37" t="s">
        <v>2</v>
      </c>
      <c r="L12" s="38" t="s">
        <v>35</v>
      </c>
      <c r="M12" s="162"/>
      <c r="N12" s="163"/>
      <c r="O12" s="163"/>
      <c r="P12" s="163"/>
      <c r="Q12" s="163"/>
      <c r="R12" s="163"/>
      <c r="S12" s="37" t="s">
        <v>2</v>
      </c>
      <c r="T12" s="38" t="s">
        <v>35</v>
      </c>
      <c r="U12" s="162"/>
      <c r="V12" s="163"/>
      <c r="W12" s="163"/>
      <c r="X12" s="163"/>
      <c r="Y12" s="163"/>
      <c r="Z12" s="163"/>
      <c r="AA12" s="37" t="s">
        <v>2</v>
      </c>
      <c r="AB12" s="38" t="s">
        <v>35</v>
      </c>
      <c r="AC12" s="162"/>
      <c r="AD12" s="163"/>
      <c r="AE12" s="163"/>
      <c r="AF12" s="163"/>
      <c r="AG12" s="163"/>
      <c r="AH12" s="163"/>
      <c r="AI12" s="37" t="s">
        <v>2</v>
      </c>
      <c r="AJ12" s="38" t="s">
        <v>35</v>
      </c>
      <c r="AK12" s="162"/>
      <c r="AL12" s="163"/>
      <c r="AM12" s="163"/>
      <c r="AN12" s="163"/>
      <c r="AO12" s="163"/>
      <c r="AP12" s="164"/>
      <c r="AQ12" s="26" t="s">
        <v>2</v>
      </c>
      <c r="AR12" s="26" t="s">
        <v>45</v>
      </c>
      <c r="AS12" s="26"/>
      <c r="AT12" s="27"/>
    </row>
    <row r="13" spans="1:52" s="4" customFormat="1" ht="15" customHeight="1" x14ac:dyDescent="0.2">
      <c r="A13" s="29"/>
      <c r="B13" s="30"/>
      <c r="C13" s="31"/>
      <c r="D13" s="25"/>
      <c r="E13" s="26" t="s">
        <v>49</v>
      </c>
      <c r="F13" s="25"/>
      <c r="G13" s="25"/>
      <c r="H13" s="25"/>
      <c r="I13" s="25"/>
      <c r="J13" s="25"/>
      <c r="K13" s="25"/>
      <c r="L13" s="25"/>
      <c r="M13" s="26" t="s">
        <v>46</v>
      </c>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6"/>
      <c r="AS13" s="26"/>
      <c r="AT13" s="27"/>
    </row>
    <row r="14" spans="1:52" s="41" customFormat="1" ht="14.25" customHeight="1" x14ac:dyDescent="0.2">
      <c r="A14" s="29"/>
      <c r="B14" s="39"/>
      <c r="C14" s="40"/>
      <c r="AB14" s="38"/>
      <c r="AC14" s="42"/>
      <c r="AD14" s="42"/>
      <c r="AE14" s="42"/>
      <c r="AF14" s="42"/>
      <c r="AG14" s="42"/>
      <c r="AH14" s="42"/>
      <c r="AI14" s="4"/>
      <c r="AJ14" s="4"/>
      <c r="AK14" s="4"/>
      <c r="AL14" s="4"/>
      <c r="AM14" s="4"/>
      <c r="AN14" s="4"/>
      <c r="AO14" s="4"/>
      <c r="AP14" s="4"/>
      <c r="AQ14" s="4"/>
      <c r="AR14" s="4"/>
      <c r="AS14" s="4"/>
      <c r="AT14" s="43"/>
      <c r="AV14" s="40"/>
      <c r="AW14" s="40"/>
      <c r="AX14" s="40"/>
      <c r="AY14" s="40"/>
      <c r="AZ14" s="40"/>
    </row>
    <row r="15" spans="1:52" s="41" customFormat="1" ht="16.5" customHeight="1" thickBot="1" x14ac:dyDescent="0.35">
      <c r="A15" s="29"/>
      <c r="B15" s="39"/>
      <c r="C15" s="40"/>
      <c r="F15" s="44" t="s">
        <v>84</v>
      </c>
      <c r="G15" s="44"/>
      <c r="H15" s="44"/>
      <c r="I15" s="44"/>
      <c r="J15" s="44"/>
      <c r="K15" s="44"/>
      <c r="L15" s="45"/>
      <c r="M15" s="45"/>
      <c r="N15" s="44" t="s">
        <v>85</v>
      </c>
      <c r="O15" s="44"/>
      <c r="P15" s="44"/>
      <c r="Q15" s="44"/>
      <c r="R15" s="44"/>
      <c r="S15" s="44"/>
      <c r="T15" s="45"/>
      <c r="U15" s="45"/>
      <c r="V15" s="46" t="s">
        <v>41</v>
      </c>
      <c r="W15" s="46"/>
      <c r="X15" s="46"/>
      <c r="Y15" s="46"/>
      <c r="Z15" s="46"/>
      <c r="AA15" s="46"/>
      <c r="AB15" s="38"/>
      <c r="AC15" s="42"/>
      <c r="AD15" s="42"/>
      <c r="AE15" s="42"/>
      <c r="AF15" s="42"/>
      <c r="AG15" s="42"/>
      <c r="AH15" s="42"/>
      <c r="AI15" s="4"/>
      <c r="AJ15" s="4"/>
      <c r="AK15" s="4"/>
      <c r="AL15" s="4"/>
      <c r="AM15" s="4"/>
      <c r="AN15" s="4"/>
      <c r="AO15" s="4"/>
      <c r="AP15" s="4"/>
      <c r="AQ15" s="4"/>
      <c r="AR15" s="4"/>
      <c r="AS15" s="4"/>
      <c r="AT15" s="43"/>
      <c r="AV15" s="40"/>
      <c r="AW15" s="40"/>
      <c r="AX15" s="40"/>
      <c r="AY15" s="40"/>
      <c r="AZ15" s="40"/>
    </row>
    <row r="16" spans="1:52" s="41" customFormat="1" ht="37.5" customHeight="1" thickTop="1" thickBot="1" x14ac:dyDescent="0.25">
      <c r="A16" s="29"/>
      <c r="B16" s="39"/>
      <c r="C16" s="40"/>
      <c r="E16" s="38" t="s">
        <v>3</v>
      </c>
      <c r="F16" s="162"/>
      <c r="G16" s="163"/>
      <c r="H16" s="163"/>
      <c r="I16" s="163"/>
      <c r="J16" s="163"/>
      <c r="K16" s="164"/>
      <c r="L16" s="41" t="s">
        <v>4</v>
      </c>
      <c r="M16" s="41" t="s">
        <v>21</v>
      </c>
      <c r="N16" s="165"/>
      <c r="O16" s="166"/>
      <c r="P16" s="166"/>
      <c r="Q16" s="166"/>
      <c r="R16" s="166"/>
      <c r="S16" s="167"/>
      <c r="T16" s="41" t="s">
        <v>4</v>
      </c>
      <c r="U16" s="41" t="s">
        <v>5</v>
      </c>
      <c r="V16" s="168" t="str">
        <f>IF(F16="","",SUM(E12,M12,U12,AC12,AK12)*F16/N16)</f>
        <v/>
      </c>
      <c r="W16" s="169"/>
      <c r="X16" s="169"/>
      <c r="Y16" s="169"/>
      <c r="Z16" s="169"/>
      <c r="AA16" s="170"/>
      <c r="AB16" s="38" t="s">
        <v>2</v>
      </c>
      <c r="AC16" s="42"/>
      <c r="AD16" s="42"/>
      <c r="AE16" s="42"/>
      <c r="AF16" s="42"/>
      <c r="AG16" s="42"/>
      <c r="AH16" s="42"/>
      <c r="AI16" s="4"/>
      <c r="AJ16" s="4"/>
      <c r="AK16" s="4"/>
      <c r="AL16" s="4"/>
      <c r="AM16" s="4"/>
      <c r="AN16" s="4"/>
      <c r="AO16" s="4"/>
      <c r="AP16" s="4"/>
      <c r="AQ16" s="4"/>
      <c r="AR16" s="4"/>
      <c r="AS16" s="4"/>
      <c r="AT16" s="43"/>
      <c r="AV16" s="40"/>
      <c r="AW16" s="40"/>
      <c r="AX16" s="40"/>
      <c r="AY16" s="40"/>
      <c r="AZ16" s="40"/>
    </row>
    <row r="17" spans="1:52" s="41" customFormat="1" ht="15" customHeight="1" thickTop="1" x14ac:dyDescent="0.2">
      <c r="A17" s="29"/>
      <c r="B17" s="39"/>
      <c r="C17" s="40"/>
      <c r="AB17" s="38"/>
      <c r="AC17" s="42"/>
      <c r="AD17" s="42"/>
      <c r="AE17" s="42"/>
      <c r="AF17" s="42"/>
      <c r="AG17" s="42"/>
      <c r="AH17" s="42"/>
      <c r="AI17" s="4"/>
      <c r="AJ17" s="4"/>
      <c r="AK17" s="4"/>
      <c r="AL17" s="4"/>
      <c r="AM17" s="4"/>
      <c r="AN17" s="4"/>
      <c r="AO17" s="4"/>
      <c r="AP17" s="4"/>
      <c r="AQ17" s="4"/>
      <c r="AR17" s="4"/>
      <c r="AS17" s="4"/>
      <c r="AT17" s="43"/>
      <c r="AV17" s="40"/>
      <c r="AW17" s="40"/>
      <c r="AX17" s="40"/>
      <c r="AY17" s="40"/>
      <c r="AZ17" s="40"/>
    </row>
    <row r="18" spans="1:52" s="42" customFormat="1" ht="21" customHeight="1" x14ac:dyDescent="0.2">
      <c r="A18" s="29"/>
      <c r="B18" s="18" t="s">
        <v>23</v>
      </c>
      <c r="C18" s="19"/>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2"/>
    </row>
    <row r="19" spans="1:52" s="42" customFormat="1" ht="15" customHeight="1" x14ac:dyDescent="0.2">
      <c r="A19" s="29"/>
      <c r="B19" s="23"/>
      <c r="C19" s="24"/>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8"/>
    </row>
    <row r="20" spans="1:52" s="42" customFormat="1" ht="37.5" customHeight="1" thickBot="1" x14ac:dyDescent="0.4">
      <c r="A20" s="29"/>
      <c r="B20" s="49"/>
      <c r="C20" s="50"/>
      <c r="E20" s="178" t="s">
        <v>40</v>
      </c>
      <c r="F20" s="178"/>
      <c r="G20" s="178"/>
      <c r="H20" s="178"/>
      <c r="I20" s="178"/>
      <c r="J20" s="178"/>
      <c r="K20" s="35"/>
      <c r="L20" s="33"/>
      <c r="M20" s="176" t="s">
        <v>42</v>
      </c>
      <c r="N20" s="176"/>
      <c r="O20" s="176"/>
      <c r="P20" s="176"/>
      <c r="Q20" s="176"/>
      <c r="R20" s="176"/>
      <c r="S20" s="35"/>
      <c r="T20" s="52"/>
      <c r="U20" s="179" t="s">
        <v>43</v>
      </c>
      <c r="V20" s="179"/>
      <c r="W20" s="179"/>
      <c r="X20" s="179"/>
      <c r="Y20" s="179"/>
      <c r="Z20" s="179"/>
      <c r="AA20" s="38"/>
      <c r="AB20" s="50"/>
      <c r="AC20" s="50"/>
      <c r="AD20" s="50"/>
      <c r="AE20" s="50"/>
      <c r="AF20" s="6"/>
      <c r="AG20" s="6"/>
      <c r="AH20" s="6"/>
      <c r="AI20" s="6"/>
      <c r="AJ20" s="6"/>
      <c r="AK20" s="6"/>
      <c r="AL20" s="4"/>
      <c r="AM20" s="4"/>
      <c r="AN20" s="4"/>
      <c r="AO20" s="4"/>
      <c r="AP20" s="4"/>
      <c r="AQ20" s="4"/>
      <c r="AR20" s="4"/>
      <c r="AS20" s="53"/>
      <c r="AT20" s="54"/>
    </row>
    <row r="21" spans="1:52" s="42" customFormat="1" ht="37.5" customHeight="1" thickTop="1" thickBot="1" x14ac:dyDescent="0.25">
      <c r="A21" s="29"/>
      <c r="B21" s="49"/>
      <c r="C21" s="50"/>
      <c r="D21" s="55"/>
      <c r="E21" s="162">
        <v>150000</v>
      </c>
      <c r="F21" s="163"/>
      <c r="G21" s="163"/>
      <c r="H21" s="163"/>
      <c r="I21" s="163"/>
      <c r="J21" s="163"/>
      <c r="K21" s="37" t="s">
        <v>2</v>
      </c>
      <c r="L21" s="38" t="s">
        <v>3</v>
      </c>
      <c r="M21" s="165">
        <v>1</v>
      </c>
      <c r="N21" s="166"/>
      <c r="O21" s="166"/>
      <c r="P21" s="166"/>
      <c r="Q21" s="166"/>
      <c r="R21" s="166"/>
      <c r="S21" s="37" t="s">
        <v>4</v>
      </c>
      <c r="T21" s="38" t="s">
        <v>5</v>
      </c>
      <c r="U21" s="168">
        <f>IF(M21="","",E21*M21)</f>
        <v>150000</v>
      </c>
      <c r="V21" s="169"/>
      <c r="W21" s="169"/>
      <c r="X21" s="169"/>
      <c r="Y21" s="169"/>
      <c r="Z21" s="170"/>
      <c r="AA21" s="38" t="s">
        <v>2</v>
      </c>
      <c r="AB21" s="50"/>
      <c r="AC21" s="50"/>
      <c r="AD21" s="50"/>
      <c r="AE21" s="50"/>
      <c r="AF21" s="6"/>
      <c r="AG21" s="6"/>
      <c r="AH21" s="6"/>
      <c r="AI21" s="6"/>
      <c r="AJ21" s="6"/>
      <c r="AK21" s="6"/>
      <c r="AL21" s="4"/>
      <c r="AM21" s="4"/>
      <c r="AN21" s="4"/>
      <c r="AO21" s="4"/>
      <c r="AP21" s="4"/>
      <c r="AQ21" s="4"/>
      <c r="AR21" s="4"/>
      <c r="AS21" s="53"/>
      <c r="AT21" s="54"/>
    </row>
    <row r="22" spans="1:52" s="42" customFormat="1" ht="14" thickTop="1" x14ac:dyDescent="0.3">
      <c r="A22" s="29"/>
      <c r="B22" s="39"/>
      <c r="C22" s="5"/>
      <c r="D22" s="56"/>
      <c r="E22" s="56"/>
      <c r="F22" s="56"/>
      <c r="G22" s="56"/>
      <c r="H22" s="56"/>
      <c r="I22" s="56"/>
      <c r="J22" s="56"/>
      <c r="K22" s="56"/>
      <c r="L22" s="3"/>
      <c r="M22" s="3"/>
      <c r="N22" s="3"/>
      <c r="X22" s="3"/>
      <c r="Y22" s="57"/>
      <c r="Z22" s="3"/>
      <c r="AA22" s="3"/>
      <c r="AB22" s="3"/>
      <c r="AC22" s="58"/>
      <c r="AD22" s="58"/>
      <c r="AE22" s="58"/>
      <c r="AF22" s="58"/>
      <c r="AG22" s="58"/>
      <c r="AH22" s="3"/>
      <c r="AI22" s="3"/>
      <c r="AJ22" s="3"/>
      <c r="AK22" s="3"/>
      <c r="AL22" s="59"/>
      <c r="AM22" s="59"/>
      <c r="AN22" s="59"/>
      <c r="AO22" s="59"/>
      <c r="AP22" s="59"/>
      <c r="AQ22" s="59"/>
      <c r="AR22" s="59"/>
      <c r="AS22" s="3"/>
      <c r="AT22" s="43"/>
      <c r="AX22" s="171"/>
      <c r="AY22" s="171"/>
      <c r="AZ22" s="171"/>
    </row>
    <row r="23" spans="1:52" s="42" customFormat="1" ht="21" customHeight="1" x14ac:dyDescent="0.2">
      <c r="A23" s="29"/>
      <c r="B23" s="18" t="s">
        <v>50</v>
      </c>
      <c r="C23" s="19"/>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2"/>
    </row>
    <row r="24" spans="1:52" s="42" customFormat="1" ht="15" customHeight="1" x14ac:dyDescent="0.2">
      <c r="A24" s="29"/>
      <c r="B24" s="23"/>
      <c r="C24" s="24"/>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8"/>
    </row>
    <row r="25" spans="1:52" s="42" customFormat="1" ht="48" customHeight="1" thickBot="1" x14ac:dyDescent="0.35">
      <c r="A25" s="29"/>
      <c r="B25" s="39"/>
      <c r="C25" s="5"/>
      <c r="D25" s="60"/>
      <c r="E25" s="180" t="s">
        <v>136</v>
      </c>
      <c r="F25" s="180"/>
      <c r="G25" s="180"/>
      <c r="H25" s="180"/>
      <c r="I25" s="180"/>
      <c r="J25" s="180"/>
      <c r="K25" s="180"/>
      <c r="L25" s="4"/>
      <c r="M25" s="176" t="s">
        <v>42</v>
      </c>
      <c r="N25" s="176"/>
      <c r="O25" s="176"/>
      <c r="P25" s="176"/>
      <c r="Q25" s="176"/>
      <c r="R25" s="176"/>
      <c r="S25" s="26"/>
      <c r="T25" s="38"/>
      <c r="U25" s="177" t="s">
        <v>51</v>
      </c>
      <c r="V25" s="177"/>
      <c r="W25" s="177"/>
      <c r="X25" s="177"/>
      <c r="Y25" s="177"/>
      <c r="Z25" s="177"/>
      <c r="AA25" s="177"/>
      <c r="AB25" s="62"/>
      <c r="AC25" s="62"/>
      <c r="AD25" s="62"/>
      <c r="AE25" s="62"/>
      <c r="AF25" s="62"/>
      <c r="AG25" s="62"/>
      <c r="AH25" s="63"/>
      <c r="AK25" s="3"/>
      <c r="AL25" s="64"/>
      <c r="AM25" s="64"/>
      <c r="AN25" s="64"/>
      <c r="AO25" s="64"/>
      <c r="AP25" s="64"/>
      <c r="AQ25" s="64"/>
      <c r="AR25" s="64"/>
      <c r="AS25" s="3"/>
      <c r="AT25" s="43"/>
    </row>
    <row r="26" spans="1:52" s="42" customFormat="1" ht="37.5" customHeight="1" thickTop="1" thickBot="1" x14ac:dyDescent="0.25">
      <c r="A26" s="29"/>
      <c r="B26" s="39"/>
      <c r="C26" s="5"/>
      <c r="D26" s="60"/>
      <c r="E26" s="162"/>
      <c r="F26" s="163"/>
      <c r="G26" s="163"/>
      <c r="H26" s="163"/>
      <c r="I26" s="163"/>
      <c r="J26" s="163"/>
      <c r="K26" s="37" t="s">
        <v>2</v>
      </c>
      <c r="L26" s="38" t="s">
        <v>3</v>
      </c>
      <c r="M26" s="165"/>
      <c r="N26" s="166"/>
      <c r="O26" s="166"/>
      <c r="P26" s="166"/>
      <c r="Q26" s="166"/>
      <c r="R26" s="166"/>
      <c r="S26" s="37" t="s">
        <v>4</v>
      </c>
      <c r="T26" s="38" t="s">
        <v>5</v>
      </c>
      <c r="U26" s="168" t="str">
        <f>IF(M26="","",E26*M26)</f>
        <v/>
      </c>
      <c r="V26" s="169"/>
      <c r="W26" s="169"/>
      <c r="X26" s="169"/>
      <c r="Y26" s="169"/>
      <c r="Z26" s="170"/>
      <c r="AA26" s="38" t="s">
        <v>2</v>
      </c>
      <c r="AB26" s="62"/>
      <c r="AC26" s="62"/>
      <c r="AD26" s="62"/>
      <c r="AE26" s="62"/>
      <c r="AF26" s="62"/>
      <c r="AG26" s="62"/>
      <c r="AH26" s="63"/>
      <c r="AK26" s="3"/>
      <c r="AL26" s="64"/>
      <c r="AM26" s="64"/>
      <c r="AN26" s="64"/>
      <c r="AO26" s="64"/>
      <c r="AP26" s="64"/>
      <c r="AQ26" s="64"/>
      <c r="AR26" s="64"/>
      <c r="AS26" s="3"/>
      <c r="AT26" s="43"/>
    </row>
    <row r="27" spans="1:52" s="32" customFormat="1" ht="15" customHeight="1" thickTop="1" x14ac:dyDescent="0.3">
      <c r="A27" s="29"/>
      <c r="B27" s="39"/>
      <c r="C27" s="5"/>
      <c r="D27" s="56"/>
      <c r="E27" s="56"/>
      <c r="F27" s="56"/>
      <c r="G27" s="56"/>
      <c r="H27" s="56"/>
      <c r="I27" s="56"/>
      <c r="J27" s="56"/>
      <c r="K27" s="56"/>
      <c r="L27" s="3"/>
      <c r="M27" s="3"/>
      <c r="N27" s="3"/>
      <c r="O27" s="42"/>
      <c r="P27" s="42"/>
      <c r="Q27" s="42"/>
      <c r="R27" s="42"/>
      <c r="S27" s="42"/>
      <c r="T27" s="42"/>
      <c r="U27" s="42"/>
      <c r="V27" s="42"/>
      <c r="W27" s="3"/>
      <c r="X27" s="57"/>
      <c r="Y27" s="3"/>
      <c r="Z27" s="3"/>
      <c r="AA27" s="3"/>
      <c r="AB27" s="58"/>
      <c r="AC27" s="58"/>
      <c r="AD27" s="58"/>
      <c r="AE27" s="58"/>
      <c r="AF27" s="58"/>
      <c r="AG27" s="58"/>
      <c r="AH27" s="3"/>
      <c r="AI27" s="3"/>
      <c r="AJ27" s="3"/>
      <c r="AK27" s="3"/>
      <c r="AL27" s="59"/>
      <c r="AM27" s="59"/>
      <c r="AN27" s="59"/>
      <c r="AO27" s="59"/>
      <c r="AP27" s="59"/>
      <c r="AQ27" s="59"/>
      <c r="AR27" s="59"/>
      <c r="AS27" s="3"/>
      <c r="AT27" s="43"/>
    </row>
    <row r="28" spans="1:52" ht="22.5" customHeight="1" x14ac:dyDescent="0.2">
      <c r="A28" s="12" t="s">
        <v>27</v>
      </c>
      <c r="B28" s="13" t="s">
        <v>64</v>
      </c>
      <c r="C28" s="65"/>
      <c r="D28" s="65"/>
      <c r="E28" s="65"/>
      <c r="F28" s="65"/>
      <c r="G28" s="65"/>
      <c r="H28" s="65"/>
      <c r="I28" s="65"/>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7"/>
    </row>
    <row r="29" spans="1:52" s="42" customFormat="1" ht="21" customHeight="1" x14ac:dyDescent="0.35">
      <c r="A29" s="29"/>
      <c r="B29" s="68" t="s">
        <v>53</v>
      </c>
      <c r="C29" s="69"/>
      <c r="D29" s="70"/>
      <c r="E29" s="70"/>
      <c r="F29" s="70"/>
      <c r="G29" s="70"/>
      <c r="H29" s="70"/>
      <c r="I29" s="70"/>
      <c r="J29" s="71"/>
      <c r="K29" s="71"/>
      <c r="L29" s="71"/>
      <c r="M29" s="72"/>
      <c r="N29" s="70"/>
      <c r="O29" s="70"/>
      <c r="P29" s="70"/>
      <c r="Q29" s="70"/>
      <c r="R29" s="70"/>
      <c r="S29" s="72"/>
      <c r="T29" s="72"/>
      <c r="U29" s="72"/>
      <c r="V29" s="72"/>
      <c r="W29" s="72"/>
      <c r="X29" s="73"/>
      <c r="Y29" s="20"/>
      <c r="Z29" s="20"/>
      <c r="AA29" s="20"/>
      <c r="AB29" s="20"/>
      <c r="AC29" s="20"/>
      <c r="AD29" s="20"/>
      <c r="AE29" s="20"/>
      <c r="AF29" s="71"/>
      <c r="AG29" s="71"/>
      <c r="AH29" s="71"/>
      <c r="AI29" s="71"/>
      <c r="AJ29" s="71"/>
      <c r="AK29" s="71"/>
      <c r="AL29" s="74"/>
      <c r="AM29" s="74"/>
      <c r="AN29" s="74"/>
      <c r="AO29" s="74"/>
      <c r="AP29" s="74"/>
      <c r="AQ29" s="74"/>
      <c r="AR29" s="74"/>
      <c r="AS29" s="75"/>
      <c r="AT29" s="76"/>
    </row>
    <row r="30" spans="1:52" s="42" customFormat="1" ht="57.75" customHeight="1" thickBot="1" x14ac:dyDescent="0.35">
      <c r="A30" s="29"/>
      <c r="B30" s="77"/>
      <c r="C30" s="50"/>
      <c r="D30" s="55"/>
      <c r="E30" s="230" t="s">
        <v>63</v>
      </c>
      <c r="F30" s="230"/>
      <c r="G30" s="230"/>
      <c r="H30" s="230"/>
      <c r="I30" s="230"/>
      <c r="J30" s="230"/>
      <c r="K30" s="230"/>
      <c r="L30" s="4"/>
      <c r="M30" s="233" t="s">
        <v>86</v>
      </c>
      <c r="N30" s="234"/>
      <c r="O30" s="234"/>
      <c r="P30" s="234"/>
      <c r="Q30" s="234"/>
      <c r="R30" s="234"/>
      <c r="S30" s="234"/>
      <c r="T30" s="38"/>
      <c r="U30" s="176" t="s">
        <v>47</v>
      </c>
      <c r="V30" s="176"/>
      <c r="W30" s="176"/>
      <c r="X30" s="176"/>
      <c r="Y30" s="176"/>
      <c r="Z30" s="176"/>
      <c r="AA30" s="26"/>
      <c r="AB30" s="38"/>
      <c r="AC30" s="232" t="s">
        <v>58</v>
      </c>
      <c r="AD30" s="232"/>
      <c r="AE30" s="232"/>
      <c r="AF30" s="232"/>
      <c r="AG30" s="232"/>
      <c r="AH30" s="232"/>
      <c r="AI30" s="61"/>
      <c r="AJ30" s="6"/>
      <c r="AK30" s="6"/>
      <c r="AL30" s="4"/>
      <c r="AM30" s="4"/>
      <c r="AN30" s="4"/>
      <c r="AO30" s="4"/>
      <c r="AP30" s="4"/>
      <c r="AQ30" s="4"/>
      <c r="AR30" s="4"/>
      <c r="AS30" s="53"/>
      <c r="AT30" s="78"/>
      <c r="AV30" s="42">
        <v>75</v>
      </c>
    </row>
    <row r="31" spans="1:52" s="42" customFormat="1" ht="37.5" customHeight="1" thickTop="1" thickBot="1" x14ac:dyDescent="0.25">
      <c r="A31" s="29"/>
      <c r="B31" s="77"/>
      <c r="C31" s="50"/>
      <c r="D31" s="55"/>
      <c r="E31" s="235">
        <f>IF(AND(V16="",U21="",U26=""),"",SUM(V16,U21,U26))</f>
        <v>150000</v>
      </c>
      <c r="F31" s="236"/>
      <c r="G31" s="236"/>
      <c r="H31" s="236"/>
      <c r="I31" s="236"/>
      <c r="J31" s="236"/>
      <c r="K31" s="37" t="s">
        <v>2</v>
      </c>
      <c r="L31" s="38" t="s">
        <v>3</v>
      </c>
      <c r="M31" s="237">
        <v>100</v>
      </c>
      <c r="N31" s="238"/>
      <c r="O31" s="238"/>
      <c r="P31" s="238"/>
      <c r="Q31" s="238"/>
      <c r="R31" s="238"/>
      <c r="S31" s="37" t="s">
        <v>48</v>
      </c>
      <c r="T31" s="38" t="s">
        <v>3</v>
      </c>
      <c r="U31" s="239">
        <v>75</v>
      </c>
      <c r="V31" s="240"/>
      <c r="W31" s="240"/>
      <c r="X31" s="240"/>
      <c r="Y31" s="240"/>
      <c r="Z31" s="240"/>
      <c r="AA31" s="37" t="s">
        <v>48</v>
      </c>
      <c r="AB31" s="38" t="s">
        <v>5</v>
      </c>
      <c r="AC31" s="168">
        <f>IF(U31="","",ROUNDDOWN(E31*M31*U31/10000,-2))</f>
        <v>112500</v>
      </c>
      <c r="AD31" s="169"/>
      <c r="AE31" s="169"/>
      <c r="AF31" s="169"/>
      <c r="AG31" s="169"/>
      <c r="AH31" s="170"/>
      <c r="AI31" s="38" t="s">
        <v>2</v>
      </c>
      <c r="AJ31" s="6"/>
      <c r="AK31" s="6"/>
      <c r="AL31" s="4"/>
      <c r="AM31" s="4"/>
      <c r="AN31" s="4"/>
      <c r="AO31" s="4"/>
      <c r="AP31" s="4"/>
      <c r="AQ31" s="4"/>
      <c r="AR31" s="4"/>
      <c r="AS31" s="53"/>
      <c r="AT31" s="78"/>
      <c r="AV31" s="42">
        <v>60</v>
      </c>
    </row>
    <row r="32" spans="1:52" s="42" customFormat="1" ht="21" customHeight="1" thickTop="1" x14ac:dyDescent="0.2">
      <c r="A32" s="29"/>
      <c r="B32" s="77"/>
      <c r="C32" s="50"/>
      <c r="D32" s="55"/>
      <c r="E32" s="55"/>
      <c r="F32" s="55"/>
      <c r="G32" s="55"/>
      <c r="H32" s="55"/>
      <c r="I32" s="55"/>
      <c r="J32" s="6"/>
      <c r="K32" s="6"/>
      <c r="L32" s="6"/>
      <c r="M32" s="38"/>
      <c r="N32" s="55"/>
      <c r="O32" s="55"/>
      <c r="P32" s="55"/>
      <c r="Q32" s="55"/>
      <c r="R32" s="55"/>
      <c r="S32" s="38"/>
      <c r="T32" s="38"/>
      <c r="U32" s="38"/>
      <c r="V32" s="55"/>
      <c r="W32" s="55"/>
      <c r="X32" s="55"/>
      <c r="Y32" s="55"/>
      <c r="Z32" s="55"/>
      <c r="AA32" s="38"/>
      <c r="AB32" s="38"/>
      <c r="AC32" s="231" t="s">
        <v>59</v>
      </c>
      <c r="AD32" s="231"/>
      <c r="AE32" s="231"/>
      <c r="AF32" s="231"/>
      <c r="AG32" s="231"/>
      <c r="AH32" s="231"/>
      <c r="AI32" s="50"/>
      <c r="AJ32" s="6"/>
      <c r="AK32" s="6"/>
      <c r="AL32" s="4"/>
      <c r="AM32" s="4"/>
      <c r="AN32" s="4"/>
      <c r="AO32" s="4"/>
      <c r="AP32" s="4"/>
      <c r="AQ32" s="4"/>
      <c r="AR32" s="4"/>
      <c r="AS32" s="53"/>
      <c r="AT32" s="78"/>
      <c r="AV32" s="42">
        <v>45</v>
      </c>
    </row>
    <row r="33" spans="1:50" s="42" customFormat="1" ht="21" customHeight="1" x14ac:dyDescent="0.35">
      <c r="A33" s="29"/>
      <c r="B33" s="68" t="s">
        <v>54</v>
      </c>
      <c r="C33" s="69"/>
      <c r="D33" s="70"/>
      <c r="E33" s="70"/>
      <c r="F33" s="70"/>
      <c r="G33" s="70"/>
      <c r="H33" s="70"/>
      <c r="I33" s="70"/>
      <c r="J33" s="71"/>
      <c r="K33" s="71"/>
      <c r="L33" s="71"/>
      <c r="M33" s="72"/>
      <c r="N33" s="70"/>
      <c r="O33" s="70"/>
      <c r="P33" s="70"/>
      <c r="Q33" s="70"/>
      <c r="R33" s="70"/>
      <c r="S33" s="72"/>
      <c r="T33" s="72"/>
      <c r="U33" s="72"/>
      <c r="V33" s="72"/>
      <c r="W33" s="72"/>
      <c r="X33" s="73"/>
      <c r="Y33" s="20"/>
      <c r="Z33" s="20"/>
      <c r="AA33" s="20"/>
      <c r="AB33" s="20"/>
      <c r="AC33" s="20"/>
      <c r="AD33" s="20"/>
      <c r="AE33" s="20"/>
      <c r="AF33" s="71"/>
      <c r="AG33" s="71"/>
      <c r="AH33" s="71"/>
      <c r="AI33" s="71"/>
      <c r="AJ33" s="71"/>
      <c r="AK33" s="71"/>
      <c r="AL33" s="74"/>
      <c r="AM33" s="74"/>
      <c r="AN33" s="74"/>
      <c r="AO33" s="74"/>
      <c r="AP33" s="74"/>
      <c r="AQ33" s="74"/>
      <c r="AR33" s="74"/>
      <c r="AS33" s="75"/>
      <c r="AT33" s="76"/>
      <c r="AV33" s="42">
        <v>15</v>
      </c>
    </row>
    <row r="34" spans="1:50" s="42" customFormat="1" ht="21" customHeight="1" x14ac:dyDescent="0.35">
      <c r="A34" s="29"/>
      <c r="B34" s="79"/>
      <c r="C34" s="80"/>
      <c r="D34" s="81"/>
      <c r="E34" s="81"/>
      <c r="F34" s="81"/>
      <c r="G34" s="81"/>
      <c r="H34" s="81"/>
      <c r="I34" s="81"/>
      <c r="J34" s="82"/>
      <c r="K34" s="82"/>
      <c r="L34" s="82"/>
      <c r="M34" s="83"/>
      <c r="N34" s="81"/>
      <c r="O34" s="81"/>
      <c r="P34" s="81"/>
      <c r="Q34" s="81"/>
      <c r="R34" s="81"/>
      <c r="S34" s="83"/>
      <c r="T34" s="83"/>
      <c r="U34" s="83"/>
      <c r="V34" s="83"/>
      <c r="W34" s="83"/>
      <c r="X34" s="84"/>
      <c r="Y34" s="47"/>
      <c r="Z34" s="47"/>
      <c r="AA34" s="47"/>
      <c r="AB34" s="47"/>
      <c r="AC34" s="47"/>
      <c r="AD34" s="47"/>
      <c r="AE34" s="47"/>
      <c r="AF34" s="82"/>
      <c r="AG34" s="82"/>
      <c r="AH34" s="82"/>
      <c r="AI34" s="82"/>
      <c r="AJ34" s="82"/>
      <c r="AK34" s="82"/>
      <c r="AL34" s="85"/>
      <c r="AM34" s="85"/>
      <c r="AN34" s="85"/>
      <c r="AO34" s="85"/>
      <c r="AP34" s="85"/>
      <c r="AQ34" s="85"/>
      <c r="AR34" s="85"/>
      <c r="AS34" s="86"/>
      <c r="AT34" s="87"/>
      <c r="AW34" s="88"/>
    </row>
    <row r="35" spans="1:50" s="42" customFormat="1" ht="21" customHeight="1" x14ac:dyDescent="0.35">
      <c r="A35" s="29"/>
      <c r="B35" s="79"/>
      <c r="C35" s="89" t="s">
        <v>87</v>
      </c>
      <c r="D35" s="90"/>
      <c r="E35" s="90"/>
      <c r="F35" s="90"/>
      <c r="G35" s="90"/>
      <c r="H35" s="90"/>
      <c r="I35" s="90"/>
      <c r="J35" s="91"/>
      <c r="K35" s="91"/>
      <c r="L35" s="91"/>
      <c r="M35" s="92"/>
      <c r="N35" s="90"/>
      <c r="O35" s="90"/>
      <c r="P35" s="90"/>
      <c r="Q35" s="90"/>
      <c r="R35" s="90"/>
      <c r="S35" s="92"/>
      <c r="T35" s="92"/>
      <c r="U35" s="92"/>
      <c r="V35" s="92"/>
      <c r="W35" s="92"/>
      <c r="X35" s="93"/>
      <c r="Y35" s="94"/>
      <c r="Z35" s="94"/>
      <c r="AA35" s="94"/>
      <c r="AB35" s="94"/>
      <c r="AC35" s="94"/>
      <c r="AD35" s="94"/>
      <c r="AE35" s="94"/>
      <c r="AF35" s="91"/>
      <c r="AG35" s="91"/>
      <c r="AH35" s="91"/>
      <c r="AI35" s="91"/>
      <c r="AJ35" s="91"/>
      <c r="AK35" s="91"/>
      <c r="AL35" s="95"/>
      <c r="AM35" s="95"/>
      <c r="AN35" s="95"/>
      <c r="AO35" s="95"/>
      <c r="AP35" s="95"/>
      <c r="AQ35" s="95"/>
      <c r="AR35" s="95"/>
      <c r="AS35" s="95"/>
      <c r="AT35" s="96"/>
      <c r="AW35" s="88"/>
    </row>
    <row r="36" spans="1:50" s="42" customFormat="1" ht="21" customHeight="1" thickBot="1" x14ac:dyDescent="0.35">
      <c r="A36" s="29"/>
      <c r="B36" s="77"/>
      <c r="C36" s="50"/>
      <c r="D36" s="55"/>
      <c r="E36" s="178" t="s">
        <v>56</v>
      </c>
      <c r="F36" s="178"/>
      <c r="G36" s="178"/>
      <c r="H36" s="178"/>
      <c r="I36" s="178"/>
      <c r="J36" s="178"/>
      <c r="K36" s="26"/>
      <c r="L36" s="4"/>
      <c r="M36" s="51" t="s">
        <v>55</v>
      </c>
      <c r="N36" s="51"/>
      <c r="O36" s="51"/>
      <c r="P36" s="51"/>
      <c r="Q36" s="51"/>
      <c r="R36" s="51"/>
      <c r="S36" s="26"/>
      <c r="T36" s="4"/>
      <c r="U36" s="97" t="s">
        <v>134</v>
      </c>
      <c r="V36" s="51"/>
      <c r="W36" s="51"/>
      <c r="X36" s="51"/>
      <c r="Y36" s="51"/>
      <c r="Z36" s="51"/>
      <c r="AA36" s="26"/>
      <c r="AB36" s="38"/>
      <c r="AC36" s="177" t="s">
        <v>57</v>
      </c>
      <c r="AD36" s="177"/>
      <c r="AE36" s="177"/>
      <c r="AF36" s="177"/>
      <c r="AG36" s="177"/>
      <c r="AH36" s="177"/>
      <c r="AI36" s="177"/>
      <c r="AJ36" s="6"/>
      <c r="AK36" s="6"/>
      <c r="AL36" s="4"/>
      <c r="AM36" s="4"/>
      <c r="AN36" s="4"/>
      <c r="AO36" s="4"/>
      <c r="AP36" s="4"/>
      <c r="AQ36" s="4"/>
      <c r="AR36" s="4"/>
      <c r="AS36" s="53"/>
      <c r="AT36" s="78"/>
      <c r="AW36" s="88">
        <v>500000</v>
      </c>
      <c r="AX36" s="88">
        <v>5000000</v>
      </c>
    </row>
    <row r="37" spans="1:50" s="42" customFormat="1" ht="37.5" customHeight="1" thickTop="1" thickBot="1" x14ac:dyDescent="0.25">
      <c r="A37" s="29"/>
      <c r="B37" s="49"/>
      <c r="C37" s="50"/>
      <c r="D37" s="55"/>
      <c r="E37" s="165">
        <v>1</v>
      </c>
      <c r="F37" s="166"/>
      <c r="G37" s="166"/>
      <c r="H37" s="166"/>
      <c r="I37" s="166"/>
      <c r="J37" s="167"/>
      <c r="K37" s="37" t="s">
        <v>4</v>
      </c>
      <c r="L37" s="38" t="s">
        <v>3</v>
      </c>
      <c r="M37" s="227">
        <v>300000</v>
      </c>
      <c r="N37" s="228"/>
      <c r="O37" s="228"/>
      <c r="P37" s="228"/>
      <c r="Q37" s="228"/>
      <c r="R37" s="229"/>
      <c r="S37" s="37" t="s">
        <v>2</v>
      </c>
      <c r="T37" s="38" t="s">
        <v>19</v>
      </c>
      <c r="U37" s="162"/>
      <c r="V37" s="163"/>
      <c r="W37" s="163"/>
      <c r="X37" s="163"/>
      <c r="Y37" s="163"/>
      <c r="Z37" s="164"/>
      <c r="AA37" s="37" t="s">
        <v>2</v>
      </c>
      <c r="AB37" s="38" t="s">
        <v>5</v>
      </c>
      <c r="AC37" s="168">
        <f>IF(AND(E37="",M37="",U37=""),"",ROUNDDOWN((E37*M37-U37),-2))</f>
        <v>300000</v>
      </c>
      <c r="AD37" s="169"/>
      <c r="AE37" s="169"/>
      <c r="AF37" s="169"/>
      <c r="AG37" s="169"/>
      <c r="AH37" s="170"/>
      <c r="AI37" s="38" t="s">
        <v>2</v>
      </c>
      <c r="AJ37" s="6"/>
      <c r="AK37" s="6"/>
      <c r="AL37" s="4"/>
      <c r="AM37" s="4"/>
      <c r="AN37" s="4"/>
      <c r="AO37" s="4"/>
      <c r="AP37" s="4"/>
      <c r="AQ37" s="4"/>
      <c r="AR37" s="4"/>
      <c r="AS37" s="53"/>
      <c r="AT37" s="78"/>
      <c r="AW37" s="88">
        <v>400000</v>
      </c>
      <c r="AX37" s="88">
        <v>2000000</v>
      </c>
    </row>
    <row r="38" spans="1:50" s="32" customFormat="1" ht="27.75" customHeight="1" thickTop="1" x14ac:dyDescent="0.3">
      <c r="A38" s="29"/>
      <c r="B38" s="98"/>
      <c r="C38" s="50"/>
      <c r="D38" s="55"/>
      <c r="M38" s="55"/>
      <c r="N38" s="55"/>
      <c r="O38" s="55"/>
      <c r="P38" s="55"/>
      <c r="Q38" s="55"/>
      <c r="R38" s="6"/>
      <c r="S38" s="6"/>
      <c r="T38" s="6"/>
      <c r="U38" s="181" t="s">
        <v>119</v>
      </c>
      <c r="V38" s="181"/>
      <c r="W38" s="181"/>
      <c r="X38" s="181"/>
      <c r="Y38" s="181"/>
      <c r="Z38" s="181"/>
      <c r="AA38" s="38"/>
      <c r="AB38" s="38"/>
      <c r="AC38" s="190" t="s">
        <v>59</v>
      </c>
      <c r="AD38" s="190"/>
      <c r="AE38" s="190"/>
      <c r="AF38" s="190"/>
      <c r="AG38" s="190"/>
      <c r="AH38" s="190"/>
      <c r="AI38" s="50"/>
      <c r="AJ38" s="3"/>
      <c r="AK38" s="3"/>
      <c r="AL38" s="59"/>
      <c r="AM38" s="59"/>
      <c r="AN38" s="59"/>
      <c r="AO38" s="59"/>
      <c r="AP38" s="59"/>
      <c r="AQ38" s="59"/>
      <c r="AR38" s="59"/>
      <c r="AS38" s="3"/>
      <c r="AT38" s="43"/>
      <c r="AW38" s="88">
        <v>300000</v>
      </c>
      <c r="AX38" s="88">
        <v>1500000</v>
      </c>
    </row>
    <row r="39" spans="1:50" s="32" customFormat="1" ht="21" customHeight="1" x14ac:dyDescent="0.3">
      <c r="A39" s="29"/>
      <c r="B39" s="99"/>
      <c r="C39" s="100"/>
      <c r="D39" s="55"/>
      <c r="M39" s="55"/>
      <c r="N39" s="55"/>
      <c r="O39" s="55"/>
      <c r="P39" s="55"/>
      <c r="Q39" s="55"/>
      <c r="R39" s="6"/>
      <c r="S39" s="6"/>
      <c r="T39" s="6"/>
      <c r="U39" s="38"/>
      <c r="V39" s="55"/>
      <c r="W39" s="55"/>
      <c r="X39" s="55"/>
      <c r="Y39" s="55"/>
      <c r="Z39" s="55"/>
      <c r="AA39" s="38"/>
      <c r="AB39" s="38"/>
      <c r="AC39" s="101"/>
      <c r="AD39" s="101"/>
      <c r="AE39" s="101"/>
      <c r="AF39" s="101"/>
      <c r="AG39" s="101"/>
      <c r="AH39" s="101"/>
      <c r="AI39" s="50"/>
      <c r="AJ39" s="3"/>
      <c r="AK39" s="3"/>
      <c r="AL39" s="59"/>
      <c r="AM39" s="59"/>
      <c r="AN39" s="59"/>
      <c r="AO39" s="59"/>
      <c r="AP39" s="59"/>
      <c r="AQ39" s="59"/>
      <c r="AR39" s="59"/>
      <c r="AS39" s="3"/>
      <c r="AT39" s="43"/>
      <c r="AW39" s="88">
        <v>250000</v>
      </c>
      <c r="AX39" s="88">
        <v>1000000</v>
      </c>
    </row>
    <row r="40" spans="1:50" s="42" customFormat="1" ht="21" customHeight="1" x14ac:dyDescent="0.35">
      <c r="A40" s="29"/>
      <c r="B40" s="79"/>
      <c r="C40" s="89" t="s">
        <v>88</v>
      </c>
      <c r="D40" s="90"/>
      <c r="E40" s="90"/>
      <c r="F40" s="90"/>
      <c r="G40" s="90"/>
      <c r="H40" s="90"/>
      <c r="I40" s="90"/>
      <c r="J40" s="91"/>
      <c r="K40" s="91"/>
      <c r="L40" s="91"/>
      <c r="M40" s="92"/>
      <c r="N40" s="90"/>
      <c r="O40" s="90"/>
      <c r="P40" s="90"/>
      <c r="Q40" s="90"/>
      <c r="R40" s="90"/>
      <c r="S40" s="92"/>
      <c r="T40" s="92"/>
      <c r="U40" s="92"/>
      <c r="V40" s="92"/>
      <c r="W40" s="92"/>
      <c r="X40" s="93"/>
      <c r="Y40" s="94"/>
      <c r="Z40" s="94"/>
      <c r="AA40" s="94"/>
      <c r="AB40" s="94"/>
      <c r="AC40" s="94"/>
      <c r="AD40" s="94"/>
      <c r="AE40" s="94"/>
      <c r="AF40" s="91"/>
      <c r="AG40" s="91"/>
      <c r="AH40" s="91"/>
      <c r="AI40" s="91"/>
      <c r="AJ40" s="91"/>
      <c r="AK40" s="91"/>
      <c r="AL40" s="95"/>
      <c r="AM40" s="95"/>
      <c r="AN40" s="95"/>
      <c r="AO40" s="95"/>
      <c r="AP40" s="95"/>
      <c r="AQ40" s="95"/>
      <c r="AR40" s="95"/>
      <c r="AS40" s="95"/>
      <c r="AT40" s="96"/>
      <c r="AW40" s="88">
        <v>200000</v>
      </c>
      <c r="AX40" s="88">
        <v>600000</v>
      </c>
    </row>
    <row r="41" spans="1:50" s="42" customFormat="1" ht="21" customHeight="1" thickBot="1" x14ac:dyDescent="0.35">
      <c r="A41" s="29"/>
      <c r="B41" s="77"/>
      <c r="C41" s="50"/>
      <c r="D41" s="55"/>
      <c r="E41" s="178" t="s">
        <v>56</v>
      </c>
      <c r="F41" s="178"/>
      <c r="G41" s="178"/>
      <c r="H41" s="178"/>
      <c r="I41" s="178"/>
      <c r="J41" s="178"/>
      <c r="K41" s="26"/>
      <c r="L41" s="4"/>
      <c r="M41" s="51" t="s">
        <v>68</v>
      </c>
      <c r="N41" s="51"/>
      <c r="O41" s="51"/>
      <c r="P41" s="51"/>
      <c r="Q41" s="51"/>
      <c r="R41" s="51"/>
      <c r="S41" s="26"/>
      <c r="T41" s="4"/>
      <c r="U41" s="51" t="s">
        <v>67</v>
      </c>
      <c r="V41" s="51"/>
      <c r="W41" s="51"/>
      <c r="X41" s="51"/>
      <c r="Y41" s="51"/>
      <c r="Z41" s="51"/>
      <c r="AA41" s="26"/>
      <c r="AB41" s="38"/>
      <c r="AC41" s="51" t="s">
        <v>65</v>
      </c>
      <c r="AD41" s="51"/>
      <c r="AE41" s="51"/>
      <c r="AF41" s="51"/>
      <c r="AG41" s="51"/>
      <c r="AH41" s="51"/>
      <c r="AI41" s="26"/>
      <c r="AJ41" s="38"/>
      <c r="AK41" s="177" t="s">
        <v>57</v>
      </c>
      <c r="AL41" s="177"/>
      <c r="AM41" s="177"/>
      <c r="AN41" s="177"/>
      <c r="AO41" s="177"/>
      <c r="AP41" s="177"/>
      <c r="AQ41" s="177"/>
      <c r="AR41" s="4"/>
      <c r="AS41" s="53"/>
      <c r="AT41" s="78"/>
      <c r="AW41" s="88">
        <v>150000</v>
      </c>
    </row>
    <row r="42" spans="1:50" s="42" customFormat="1" ht="37.5" customHeight="1" thickTop="1" thickBot="1" x14ac:dyDescent="0.25">
      <c r="A42" s="29"/>
      <c r="B42" s="49"/>
      <c r="C42" s="50"/>
      <c r="D42" s="55"/>
      <c r="E42" s="165"/>
      <c r="F42" s="166"/>
      <c r="G42" s="166"/>
      <c r="H42" s="166"/>
      <c r="I42" s="166"/>
      <c r="J42" s="167"/>
      <c r="K42" s="37" t="s">
        <v>4</v>
      </c>
      <c r="L42" s="38" t="s">
        <v>3</v>
      </c>
      <c r="M42" s="227"/>
      <c r="N42" s="228"/>
      <c r="O42" s="228"/>
      <c r="P42" s="228"/>
      <c r="Q42" s="228"/>
      <c r="R42" s="229"/>
      <c r="S42" s="37" t="s">
        <v>2</v>
      </c>
      <c r="T42" s="38" t="s">
        <v>3</v>
      </c>
      <c r="U42" s="162"/>
      <c r="V42" s="163"/>
      <c r="W42" s="163"/>
      <c r="X42" s="163"/>
      <c r="Y42" s="163"/>
      <c r="Z42" s="164"/>
      <c r="AA42" s="37" t="s">
        <v>66</v>
      </c>
      <c r="AB42" s="38" t="s">
        <v>19</v>
      </c>
      <c r="AC42" s="162"/>
      <c r="AD42" s="163"/>
      <c r="AE42" s="163"/>
      <c r="AF42" s="163"/>
      <c r="AG42" s="163"/>
      <c r="AH42" s="164"/>
      <c r="AI42" s="37" t="s">
        <v>2</v>
      </c>
      <c r="AJ42" s="38" t="s">
        <v>5</v>
      </c>
      <c r="AK42" s="168" t="str">
        <f>IF(AND(E42="",M42="",U42="",AC42=""),"",ROUNDDOWN((E42*M42*U42-AC42),-2))</f>
        <v/>
      </c>
      <c r="AL42" s="169"/>
      <c r="AM42" s="169"/>
      <c r="AN42" s="169"/>
      <c r="AO42" s="169"/>
      <c r="AP42" s="170"/>
      <c r="AQ42" s="38" t="s">
        <v>2</v>
      </c>
      <c r="AR42" s="4"/>
      <c r="AS42" s="53"/>
      <c r="AT42" s="78"/>
      <c r="AW42" s="88">
        <v>100000</v>
      </c>
    </row>
    <row r="43" spans="1:50" s="32" customFormat="1" ht="27.75" customHeight="1" thickTop="1" x14ac:dyDescent="0.3">
      <c r="A43" s="29"/>
      <c r="B43" s="102"/>
      <c r="C43" s="50"/>
      <c r="D43" s="55"/>
      <c r="M43" s="55"/>
      <c r="N43" s="55"/>
      <c r="O43" s="55"/>
      <c r="P43" s="55"/>
      <c r="Q43" s="55"/>
      <c r="R43" s="6"/>
      <c r="S43" s="6"/>
      <c r="T43" s="6"/>
      <c r="U43" s="38"/>
      <c r="V43" s="55"/>
      <c r="W43" s="55"/>
      <c r="X43" s="55"/>
      <c r="Y43" s="55"/>
      <c r="Z43" s="55"/>
      <c r="AA43" s="38"/>
      <c r="AB43" s="38"/>
      <c r="AC43" s="182" t="s">
        <v>118</v>
      </c>
      <c r="AD43" s="182"/>
      <c r="AE43" s="182"/>
      <c r="AF43" s="182"/>
      <c r="AG43" s="182"/>
      <c r="AH43" s="182"/>
      <c r="AJ43" s="3"/>
      <c r="AK43" s="172" t="s">
        <v>59</v>
      </c>
      <c r="AL43" s="172"/>
      <c r="AM43" s="172"/>
      <c r="AN43" s="172"/>
      <c r="AO43" s="172"/>
      <c r="AP43" s="172"/>
      <c r="AQ43" s="50"/>
      <c r="AR43" s="59"/>
      <c r="AS43" s="3"/>
      <c r="AT43" s="43"/>
      <c r="AW43" s="88">
        <v>70000</v>
      </c>
    </row>
    <row r="44" spans="1:50" s="32" customFormat="1" ht="20.25" customHeight="1" x14ac:dyDescent="0.3">
      <c r="A44" s="29"/>
      <c r="B44" s="103" t="s">
        <v>60</v>
      </c>
      <c r="C44" s="20"/>
      <c r="D44" s="70"/>
      <c r="E44" s="70"/>
      <c r="F44" s="70"/>
      <c r="G44" s="70"/>
      <c r="H44" s="70"/>
      <c r="I44" s="70"/>
      <c r="J44" s="71"/>
      <c r="K44" s="71"/>
      <c r="L44" s="71"/>
      <c r="M44" s="72"/>
      <c r="N44" s="70"/>
      <c r="O44" s="70"/>
      <c r="P44" s="70"/>
      <c r="Q44" s="70"/>
      <c r="R44" s="70"/>
      <c r="S44" s="72"/>
      <c r="T44" s="72"/>
      <c r="U44" s="104"/>
      <c r="V44" s="104"/>
      <c r="W44" s="104"/>
      <c r="X44" s="104"/>
      <c r="Y44" s="104"/>
      <c r="Z44" s="104"/>
      <c r="AA44" s="20"/>
      <c r="AB44" s="105"/>
      <c r="AC44" s="105"/>
      <c r="AD44" s="105"/>
      <c r="AE44" s="105"/>
      <c r="AF44" s="105"/>
      <c r="AG44" s="105"/>
      <c r="AH44" s="106"/>
      <c r="AI44" s="106"/>
      <c r="AJ44" s="106"/>
      <c r="AK44" s="104"/>
      <c r="AL44" s="104"/>
      <c r="AM44" s="104"/>
      <c r="AN44" s="104"/>
      <c r="AO44" s="104"/>
      <c r="AP44" s="104"/>
      <c r="AQ44" s="104"/>
      <c r="AR44" s="107"/>
      <c r="AS44" s="106"/>
      <c r="AT44" s="108"/>
    </row>
    <row r="45" spans="1:50" s="32" customFormat="1" ht="21" customHeight="1" thickBot="1" x14ac:dyDescent="0.35">
      <c r="A45" s="29"/>
      <c r="B45" s="98"/>
      <c r="C45" s="50"/>
      <c r="D45" s="55"/>
      <c r="E45" s="55"/>
      <c r="F45" s="55"/>
      <c r="G45" s="55"/>
      <c r="H45" s="55"/>
      <c r="I45" s="55"/>
      <c r="J45" s="6"/>
      <c r="K45" s="6"/>
      <c r="L45" s="6"/>
      <c r="M45" s="38"/>
      <c r="N45" s="55"/>
      <c r="O45" s="58"/>
      <c r="P45" s="58"/>
      <c r="Q45" s="58"/>
      <c r="R45" s="58"/>
      <c r="S45" s="58"/>
      <c r="T45" s="58"/>
      <c r="AB45" s="58"/>
      <c r="AC45" s="58"/>
      <c r="AD45" s="58"/>
      <c r="AE45" s="58"/>
      <c r="AF45" s="58"/>
      <c r="AG45" s="58"/>
      <c r="AH45" s="3"/>
      <c r="AI45" s="3"/>
      <c r="AJ45" s="3"/>
      <c r="AK45" s="3"/>
      <c r="AL45" s="177" t="s">
        <v>61</v>
      </c>
      <c r="AM45" s="177"/>
      <c r="AN45" s="177"/>
      <c r="AO45" s="177"/>
      <c r="AP45" s="177"/>
      <c r="AQ45" s="177"/>
      <c r="AR45" s="177"/>
      <c r="AS45" s="3"/>
      <c r="AT45" s="43"/>
    </row>
    <row r="46" spans="1:50" s="32" customFormat="1" ht="37.5" customHeight="1" thickTop="1" thickBot="1" x14ac:dyDescent="0.35">
      <c r="A46" s="29"/>
      <c r="B46" s="98"/>
      <c r="C46" s="50"/>
      <c r="D46" s="55"/>
      <c r="E46" s="55"/>
      <c r="F46" s="55"/>
      <c r="G46" s="55"/>
      <c r="H46" s="55"/>
      <c r="I46" s="55"/>
      <c r="J46" s="6"/>
      <c r="K46" s="6"/>
      <c r="L46" s="6"/>
      <c r="M46" s="38"/>
      <c r="N46" s="55"/>
      <c r="O46" s="55"/>
      <c r="P46" s="55"/>
      <c r="Q46" s="55"/>
      <c r="R46" s="55"/>
      <c r="S46" s="38"/>
      <c r="T46" s="38"/>
      <c r="AB46" s="58"/>
      <c r="AC46" s="58"/>
      <c r="AD46" s="58"/>
      <c r="AE46" s="58"/>
      <c r="AF46" s="58"/>
      <c r="AG46" s="58"/>
      <c r="AH46" s="3"/>
      <c r="AI46" s="3"/>
      <c r="AJ46" s="3"/>
      <c r="AK46" s="3"/>
      <c r="AL46" s="168">
        <f>IF(AC37="","",IF(AC37="エラー","エラー",MIN(SUM(AC37,AK42),AC31 )))</f>
        <v>112500</v>
      </c>
      <c r="AM46" s="169"/>
      <c r="AN46" s="169"/>
      <c r="AO46" s="169"/>
      <c r="AP46" s="169"/>
      <c r="AQ46" s="170"/>
      <c r="AR46" s="38" t="s">
        <v>2</v>
      </c>
      <c r="AS46" s="3"/>
      <c r="AT46" s="43"/>
    </row>
    <row r="47" spans="1:50" s="32" customFormat="1" ht="21" customHeight="1" thickTop="1" thickBot="1" x14ac:dyDescent="0.35">
      <c r="A47" s="109"/>
      <c r="B47" s="110"/>
      <c r="C47" s="111"/>
      <c r="D47" s="112"/>
      <c r="E47" s="112"/>
      <c r="F47" s="112"/>
      <c r="G47" s="112"/>
      <c r="H47" s="112"/>
      <c r="I47" s="112"/>
      <c r="J47" s="113"/>
      <c r="K47" s="113"/>
      <c r="L47" s="113"/>
      <c r="M47" s="114"/>
      <c r="N47" s="112"/>
      <c r="O47" s="112"/>
      <c r="P47" s="112"/>
      <c r="Q47" s="112"/>
      <c r="R47" s="112"/>
      <c r="S47" s="114"/>
      <c r="T47" s="114"/>
      <c r="U47" s="115"/>
      <c r="V47" s="115"/>
      <c r="W47" s="115"/>
      <c r="X47" s="115"/>
      <c r="Y47" s="115"/>
      <c r="Z47" s="115"/>
      <c r="AA47" s="111"/>
      <c r="AB47" s="116"/>
      <c r="AC47" s="116"/>
      <c r="AD47" s="116"/>
      <c r="AE47" s="116"/>
      <c r="AF47" s="116"/>
      <c r="AG47" s="116"/>
      <c r="AH47" s="117"/>
      <c r="AI47" s="117"/>
      <c r="AJ47" s="117"/>
      <c r="AK47" s="117"/>
      <c r="AL47" s="118"/>
      <c r="AM47" s="118"/>
      <c r="AN47" s="118"/>
      <c r="AO47" s="118"/>
      <c r="AP47" s="118"/>
      <c r="AQ47" s="118"/>
      <c r="AR47" s="118"/>
      <c r="AS47" s="117"/>
      <c r="AT47" s="119"/>
    </row>
    <row r="48" spans="1:50" s="42" customFormat="1" ht="21" customHeight="1" x14ac:dyDescent="0.2">
      <c r="A48" s="120" t="s">
        <v>32</v>
      </c>
      <c r="C48" s="5"/>
      <c r="D48" s="56"/>
      <c r="E48" s="56"/>
      <c r="F48" s="56"/>
      <c r="G48" s="56"/>
      <c r="H48" s="56"/>
      <c r="I48" s="56"/>
      <c r="J48" s="56"/>
      <c r="K48" s="56"/>
      <c r="L48" s="3"/>
      <c r="M48" s="3"/>
      <c r="N48" s="3"/>
      <c r="O48" s="3"/>
      <c r="P48" s="3"/>
      <c r="Q48" s="3"/>
      <c r="R48" s="3"/>
      <c r="S48" s="3"/>
      <c r="T48" s="3"/>
      <c r="U48" s="3"/>
      <c r="V48" s="3"/>
      <c r="W48" s="3"/>
      <c r="X48" s="57"/>
      <c r="Y48" s="3"/>
      <c r="Z48" s="3"/>
      <c r="AA48" s="3"/>
      <c r="AB48" s="121"/>
      <c r="AC48" s="121"/>
      <c r="AD48" s="121"/>
      <c r="AE48" s="122"/>
      <c r="AF48" s="122"/>
      <c r="AG48" s="123"/>
      <c r="AH48" s="3"/>
      <c r="AI48" s="3"/>
      <c r="AJ48" s="3"/>
      <c r="AK48" s="3"/>
      <c r="AL48" s="124"/>
      <c r="AM48" s="124"/>
      <c r="AN48" s="124"/>
      <c r="AO48" s="124"/>
      <c r="AP48" s="124"/>
      <c r="AQ48" s="124"/>
      <c r="AR48" s="124"/>
      <c r="AS48" s="3"/>
      <c r="AT48" s="3"/>
    </row>
    <row r="49" spans="1:256" s="42" customFormat="1" ht="21" customHeight="1" x14ac:dyDescent="0.2">
      <c r="A49" s="1" t="s">
        <v>135</v>
      </c>
      <c r="B49" s="4"/>
      <c r="C49" s="4"/>
      <c r="D49" s="4"/>
      <c r="E49" s="4"/>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4" t="s">
        <v>0</v>
      </c>
      <c r="AL49" s="158"/>
      <c r="AM49" s="158"/>
      <c r="AN49" s="159" t="s">
        <v>1</v>
      </c>
      <c r="AO49" s="159"/>
      <c r="AP49" s="158"/>
      <c r="AQ49" s="158"/>
      <c r="AR49" s="159" t="s">
        <v>16</v>
      </c>
      <c r="AS49" s="159"/>
      <c r="AT49" s="6" t="s">
        <v>17</v>
      </c>
    </row>
    <row r="50" spans="1:256" s="42" customFormat="1" ht="21" customHeight="1" x14ac:dyDescent="0.2">
      <c r="A50" s="1"/>
      <c r="B50" s="4"/>
      <c r="C50" s="4"/>
      <c r="D50" s="4"/>
      <c r="E50" s="4"/>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40"/>
      <c r="AL50" s="40"/>
      <c r="AM50" s="40"/>
      <c r="AN50" s="40"/>
      <c r="AO50" s="40"/>
      <c r="AP50" s="40"/>
      <c r="AQ50" s="40"/>
      <c r="AR50" s="40"/>
      <c r="AS50" s="40"/>
      <c r="AT50" s="6"/>
    </row>
    <row r="51" spans="1:256" s="126" customFormat="1" ht="20.25" customHeight="1" thickBot="1" x14ac:dyDescent="0.25">
      <c r="A51" s="125" t="s">
        <v>90</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row>
    <row r="52" spans="1:256" s="126" customFormat="1" ht="36" customHeight="1" x14ac:dyDescent="0.2">
      <c r="A52" s="205"/>
      <c r="B52" s="206"/>
      <c r="C52" s="206"/>
      <c r="D52" s="206"/>
      <c r="E52" s="206"/>
      <c r="F52" s="206"/>
      <c r="G52" s="206"/>
      <c r="H52" s="206"/>
      <c r="I52" s="206"/>
      <c r="J52" s="206"/>
      <c r="K52" s="206"/>
      <c r="L52" s="209" t="s">
        <v>78</v>
      </c>
      <c r="M52" s="210"/>
      <c r="N52" s="210"/>
      <c r="O52" s="210"/>
      <c r="P52" s="211"/>
      <c r="Q52" s="215" t="s">
        <v>79</v>
      </c>
      <c r="R52" s="216"/>
      <c r="S52" s="216"/>
      <c r="T52" s="216"/>
      <c r="U52" s="216"/>
      <c r="V52" s="216"/>
      <c r="W52" s="216"/>
      <c r="X52" s="216"/>
      <c r="Y52" s="216"/>
      <c r="Z52" s="216"/>
      <c r="AA52" s="216"/>
      <c r="AB52" s="216"/>
      <c r="AC52" s="216"/>
      <c r="AD52" s="216"/>
      <c r="AE52" s="216"/>
      <c r="AF52" s="216"/>
      <c r="AG52" s="217"/>
      <c r="AH52" s="127"/>
      <c r="AI52" s="128"/>
      <c r="AJ52" s="3"/>
      <c r="AK52" s="129"/>
      <c r="AL52" s="129"/>
      <c r="AM52" s="129"/>
      <c r="AN52" s="129"/>
      <c r="AO52" s="129"/>
      <c r="AP52" s="129"/>
      <c r="AQ52" s="129"/>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row>
    <row r="53" spans="1:256" s="126" customFormat="1" ht="21" customHeight="1" x14ac:dyDescent="0.2">
      <c r="A53" s="207"/>
      <c r="B53" s="208"/>
      <c r="C53" s="208"/>
      <c r="D53" s="208"/>
      <c r="E53" s="208"/>
      <c r="F53" s="208"/>
      <c r="G53" s="208"/>
      <c r="H53" s="208"/>
      <c r="I53" s="208"/>
      <c r="J53" s="208"/>
      <c r="K53" s="208"/>
      <c r="L53" s="212"/>
      <c r="M53" s="213"/>
      <c r="N53" s="213"/>
      <c r="O53" s="213"/>
      <c r="P53" s="214"/>
      <c r="Q53" s="218" t="s">
        <v>18</v>
      </c>
      <c r="R53" s="219"/>
      <c r="S53" s="219"/>
      <c r="T53" s="219"/>
      <c r="U53" s="219"/>
      <c r="V53" s="219"/>
      <c r="W53" s="219"/>
      <c r="X53" s="220"/>
      <c r="Y53" s="218" t="s">
        <v>20</v>
      </c>
      <c r="Z53" s="219"/>
      <c r="AA53" s="219"/>
      <c r="AB53" s="219"/>
      <c r="AC53" s="219"/>
      <c r="AD53" s="219"/>
      <c r="AE53" s="219"/>
      <c r="AF53" s="219"/>
      <c r="AG53" s="221"/>
      <c r="AH53" s="127"/>
      <c r="AI53" s="128"/>
      <c r="AJ53" s="3"/>
      <c r="AK53" s="40"/>
      <c r="AL53" s="40"/>
      <c r="AM53" s="40"/>
      <c r="AN53" s="40"/>
      <c r="AO53" s="40"/>
      <c r="AP53" s="40"/>
      <c r="AQ53" s="40"/>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row>
    <row r="54" spans="1:256" s="126" customFormat="1" ht="21" customHeight="1" x14ac:dyDescent="0.2">
      <c r="A54" s="222" t="s">
        <v>91</v>
      </c>
      <c r="B54" s="199" t="s">
        <v>80</v>
      </c>
      <c r="C54" s="200"/>
      <c r="D54" s="200"/>
      <c r="E54" s="200"/>
      <c r="F54" s="200"/>
      <c r="G54" s="200"/>
      <c r="H54" s="200"/>
      <c r="I54" s="200"/>
      <c r="J54" s="200"/>
      <c r="K54" s="201"/>
      <c r="L54" s="173" t="s">
        <v>92</v>
      </c>
      <c r="M54" s="174"/>
      <c r="N54" s="174"/>
      <c r="O54" s="174"/>
      <c r="P54" s="175"/>
      <c r="Q54" s="259">
        <v>0.45</v>
      </c>
      <c r="R54" s="260"/>
      <c r="S54" s="260"/>
      <c r="T54" s="260"/>
      <c r="U54" s="260"/>
      <c r="V54" s="260"/>
      <c r="W54" s="260"/>
      <c r="X54" s="261"/>
      <c r="Y54" s="259">
        <v>0.15</v>
      </c>
      <c r="Z54" s="260"/>
      <c r="AA54" s="260"/>
      <c r="AB54" s="260"/>
      <c r="AC54" s="260"/>
      <c r="AD54" s="260"/>
      <c r="AE54" s="260"/>
      <c r="AF54" s="260"/>
      <c r="AG54" s="291"/>
      <c r="AH54" s="127"/>
      <c r="AI54" s="128"/>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row>
    <row r="55" spans="1:256" s="126" customFormat="1" ht="21" customHeight="1" x14ac:dyDescent="0.2">
      <c r="A55" s="222"/>
      <c r="B55" s="202"/>
      <c r="C55" s="203"/>
      <c r="D55" s="203"/>
      <c r="E55" s="203"/>
      <c r="F55" s="203"/>
      <c r="G55" s="203"/>
      <c r="H55" s="203"/>
      <c r="I55" s="203"/>
      <c r="J55" s="203"/>
      <c r="K55" s="204"/>
      <c r="L55" s="187" t="s">
        <v>93</v>
      </c>
      <c r="M55" s="188"/>
      <c r="N55" s="188"/>
      <c r="O55" s="188"/>
      <c r="P55" s="189"/>
      <c r="Q55" s="273"/>
      <c r="R55" s="274"/>
      <c r="S55" s="274"/>
      <c r="T55" s="274"/>
      <c r="U55" s="274"/>
      <c r="V55" s="274"/>
      <c r="W55" s="274"/>
      <c r="X55" s="275"/>
      <c r="Y55" s="288"/>
      <c r="Z55" s="289"/>
      <c r="AA55" s="289"/>
      <c r="AB55" s="289"/>
      <c r="AC55" s="289"/>
      <c r="AD55" s="289"/>
      <c r="AE55" s="289"/>
      <c r="AF55" s="289"/>
      <c r="AG55" s="290"/>
      <c r="AH55" s="127"/>
      <c r="AI55" s="128"/>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row>
    <row r="56" spans="1:256" s="126" customFormat="1" ht="21" customHeight="1" x14ac:dyDescent="0.2">
      <c r="A56" s="222"/>
      <c r="B56" s="199" t="s">
        <v>81</v>
      </c>
      <c r="C56" s="200"/>
      <c r="D56" s="200"/>
      <c r="E56" s="200"/>
      <c r="F56" s="200"/>
      <c r="G56" s="200"/>
      <c r="H56" s="200"/>
      <c r="I56" s="200"/>
      <c r="J56" s="200"/>
      <c r="K56" s="201"/>
      <c r="L56" s="173" t="s">
        <v>92</v>
      </c>
      <c r="M56" s="174"/>
      <c r="N56" s="174"/>
      <c r="O56" s="174"/>
      <c r="P56" s="175"/>
      <c r="Q56" s="259">
        <v>0.75</v>
      </c>
      <c r="R56" s="260"/>
      <c r="S56" s="260"/>
      <c r="T56" s="260"/>
      <c r="U56" s="260"/>
      <c r="V56" s="260"/>
      <c r="W56" s="260"/>
      <c r="X56" s="261"/>
      <c r="Y56" s="276"/>
      <c r="Z56" s="277"/>
      <c r="AA56" s="277"/>
      <c r="AB56" s="277"/>
      <c r="AC56" s="277"/>
      <c r="AD56" s="277"/>
      <c r="AE56" s="277"/>
      <c r="AF56" s="277"/>
      <c r="AG56" s="278"/>
      <c r="AH56" s="127"/>
      <c r="AI56" s="128"/>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row>
    <row r="57" spans="1:256" s="126" customFormat="1" ht="21" customHeight="1" x14ac:dyDescent="0.2">
      <c r="A57" s="222"/>
      <c r="B57" s="202"/>
      <c r="C57" s="203"/>
      <c r="D57" s="203"/>
      <c r="E57" s="203"/>
      <c r="F57" s="203"/>
      <c r="G57" s="203"/>
      <c r="H57" s="203"/>
      <c r="I57" s="203"/>
      <c r="J57" s="203"/>
      <c r="K57" s="204"/>
      <c r="L57" s="187" t="s">
        <v>93</v>
      </c>
      <c r="M57" s="188"/>
      <c r="N57" s="188"/>
      <c r="O57" s="188"/>
      <c r="P57" s="189"/>
      <c r="Q57" s="224">
        <v>0.6</v>
      </c>
      <c r="R57" s="225"/>
      <c r="S57" s="225"/>
      <c r="T57" s="225"/>
      <c r="U57" s="225"/>
      <c r="V57" s="225"/>
      <c r="W57" s="225"/>
      <c r="X57" s="226"/>
      <c r="Y57" s="279"/>
      <c r="Z57" s="280"/>
      <c r="AA57" s="280"/>
      <c r="AB57" s="280"/>
      <c r="AC57" s="280"/>
      <c r="AD57" s="280"/>
      <c r="AE57" s="280"/>
      <c r="AF57" s="280"/>
      <c r="AG57" s="281"/>
      <c r="AH57" s="127"/>
      <c r="AI57" s="128"/>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row>
    <row r="58" spans="1:256" s="126" customFormat="1" ht="21" customHeight="1" x14ac:dyDescent="0.2">
      <c r="A58" s="222"/>
      <c r="B58" s="199" t="s">
        <v>82</v>
      </c>
      <c r="C58" s="200"/>
      <c r="D58" s="200"/>
      <c r="E58" s="200"/>
      <c r="F58" s="200"/>
      <c r="G58" s="200"/>
      <c r="H58" s="200"/>
      <c r="I58" s="200"/>
      <c r="J58" s="200"/>
      <c r="K58" s="201"/>
      <c r="L58" s="173" t="s">
        <v>92</v>
      </c>
      <c r="M58" s="174"/>
      <c r="N58" s="174"/>
      <c r="O58" s="174"/>
      <c r="P58" s="175"/>
      <c r="Q58" s="259">
        <v>0.75</v>
      </c>
      <c r="R58" s="260"/>
      <c r="S58" s="260"/>
      <c r="T58" s="260"/>
      <c r="U58" s="260"/>
      <c r="V58" s="260"/>
      <c r="W58" s="260"/>
      <c r="X58" s="261"/>
      <c r="Y58" s="279"/>
      <c r="Z58" s="280"/>
      <c r="AA58" s="280"/>
      <c r="AB58" s="280"/>
      <c r="AC58" s="280"/>
      <c r="AD58" s="280"/>
      <c r="AE58" s="280"/>
      <c r="AF58" s="280"/>
      <c r="AG58" s="281"/>
      <c r="AH58" s="127"/>
      <c r="AI58" s="128"/>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row>
    <row r="59" spans="1:256" s="126" customFormat="1" ht="21" customHeight="1" x14ac:dyDescent="0.2">
      <c r="A59" s="222"/>
      <c r="B59" s="202"/>
      <c r="C59" s="203"/>
      <c r="D59" s="203"/>
      <c r="E59" s="203"/>
      <c r="F59" s="203"/>
      <c r="G59" s="203"/>
      <c r="H59" s="203"/>
      <c r="I59" s="203"/>
      <c r="J59" s="203"/>
      <c r="K59" s="204"/>
      <c r="L59" s="187" t="s">
        <v>93</v>
      </c>
      <c r="M59" s="188"/>
      <c r="N59" s="188"/>
      <c r="O59" s="188"/>
      <c r="P59" s="189"/>
      <c r="Q59" s="273"/>
      <c r="R59" s="274"/>
      <c r="S59" s="274"/>
      <c r="T59" s="274"/>
      <c r="U59" s="274"/>
      <c r="V59" s="274"/>
      <c r="W59" s="274"/>
      <c r="X59" s="275"/>
      <c r="Y59" s="282"/>
      <c r="Z59" s="283"/>
      <c r="AA59" s="283"/>
      <c r="AB59" s="283"/>
      <c r="AC59" s="283"/>
      <c r="AD59" s="283"/>
      <c r="AE59" s="283"/>
      <c r="AF59" s="283"/>
      <c r="AG59" s="284"/>
      <c r="AH59" s="127"/>
      <c r="AI59" s="128"/>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row>
    <row r="60" spans="1:256" s="126" customFormat="1" ht="21" customHeight="1" x14ac:dyDescent="0.2">
      <c r="A60" s="222"/>
      <c r="B60" s="199" t="s">
        <v>83</v>
      </c>
      <c r="C60" s="200"/>
      <c r="D60" s="200"/>
      <c r="E60" s="200"/>
      <c r="F60" s="200"/>
      <c r="G60" s="200"/>
      <c r="H60" s="200"/>
      <c r="I60" s="200"/>
      <c r="J60" s="200"/>
      <c r="K60" s="201"/>
      <c r="L60" s="173" t="s">
        <v>92</v>
      </c>
      <c r="M60" s="174"/>
      <c r="N60" s="174"/>
      <c r="O60" s="174"/>
      <c r="P60" s="175"/>
      <c r="Q60" s="285">
        <v>0.6</v>
      </c>
      <c r="R60" s="286"/>
      <c r="S60" s="286"/>
      <c r="T60" s="286"/>
      <c r="U60" s="286"/>
      <c r="V60" s="286"/>
      <c r="W60" s="286"/>
      <c r="X60" s="287"/>
      <c r="Y60" s="288">
        <v>0.15</v>
      </c>
      <c r="Z60" s="289"/>
      <c r="AA60" s="289"/>
      <c r="AB60" s="289"/>
      <c r="AC60" s="289"/>
      <c r="AD60" s="289"/>
      <c r="AE60" s="289"/>
      <c r="AF60" s="289"/>
      <c r="AG60" s="290"/>
      <c r="AH60" s="127"/>
      <c r="AI60" s="128"/>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row>
    <row r="61" spans="1:256" s="126" customFormat="1" ht="21" customHeight="1" x14ac:dyDescent="0.2">
      <c r="A61" s="223"/>
      <c r="B61" s="202"/>
      <c r="C61" s="203"/>
      <c r="D61" s="203"/>
      <c r="E61" s="203"/>
      <c r="F61" s="203"/>
      <c r="G61" s="203"/>
      <c r="H61" s="203"/>
      <c r="I61" s="203"/>
      <c r="J61" s="203"/>
      <c r="K61" s="204"/>
      <c r="L61" s="187" t="s">
        <v>93</v>
      </c>
      <c r="M61" s="188"/>
      <c r="N61" s="188"/>
      <c r="O61" s="188"/>
      <c r="P61" s="189"/>
      <c r="Q61" s="224">
        <v>0.45</v>
      </c>
      <c r="R61" s="225"/>
      <c r="S61" s="225"/>
      <c r="T61" s="225"/>
      <c r="U61" s="225"/>
      <c r="V61" s="225"/>
      <c r="W61" s="225"/>
      <c r="X61" s="226"/>
      <c r="Y61" s="288"/>
      <c r="Z61" s="289"/>
      <c r="AA61" s="289"/>
      <c r="AB61" s="289"/>
      <c r="AC61" s="289"/>
      <c r="AD61" s="289"/>
      <c r="AE61" s="289"/>
      <c r="AF61" s="289"/>
      <c r="AG61" s="290"/>
      <c r="AH61" s="127"/>
      <c r="AI61" s="128"/>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row>
    <row r="62" spans="1:256" ht="21" customHeight="1" x14ac:dyDescent="0.2">
      <c r="A62" s="193" t="s">
        <v>89</v>
      </c>
      <c r="B62" s="194"/>
      <c r="C62" s="194"/>
      <c r="D62" s="194"/>
      <c r="E62" s="194"/>
      <c r="F62" s="194"/>
      <c r="G62" s="194"/>
      <c r="H62" s="194"/>
      <c r="I62" s="194"/>
      <c r="J62" s="194"/>
      <c r="K62" s="195"/>
      <c r="L62" s="173" t="s">
        <v>92</v>
      </c>
      <c r="M62" s="174"/>
      <c r="N62" s="174"/>
      <c r="O62" s="174"/>
      <c r="P62" s="175"/>
      <c r="Q62" s="259">
        <v>0.75</v>
      </c>
      <c r="R62" s="260"/>
      <c r="S62" s="260"/>
      <c r="T62" s="260"/>
      <c r="U62" s="260"/>
      <c r="V62" s="260"/>
      <c r="W62" s="260"/>
      <c r="X62" s="261"/>
      <c r="Y62" s="292"/>
      <c r="Z62" s="293"/>
      <c r="AA62" s="293"/>
      <c r="AB62" s="293"/>
      <c r="AC62" s="293"/>
      <c r="AD62" s="293"/>
      <c r="AE62" s="293"/>
      <c r="AF62" s="293"/>
      <c r="AG62" s="294"/>
      <c r="AH62" s="130"/>
    </row>
    <row r="63" spans="1:256" ht="21" customHeight="1" thickBot="1" x14ac:dyDescent="0.25">
      <c r="A63" s="196"/>
      <c r="B63" s="197"/>
      <c r="C63" s="197"/>
      <c r="D63" s="197"/>
      <c r="E63" s="197"/>
      <c r="F63" s="197"/>
      <c r="G63" s="197"/>
      <c r="H63" s="197"/>
      <c r="I63" s="197"/>
      <c r="J63" s="197"/>
      <c r="K63" s="198"/>
      <c r="L63" s="262" t="s">
        <v>93</v>
      </c>
      <c r="M63" s="263"/>
      <c r="N63" s="263"/>
      <c r="O63" s="263"/>
      <c r="P63" s="264"/>
      <c r="Q63" s="298">
        <v>0.6</v>
      </c>
      <c r="R63" s="299"/>
      <c r="S63" s="299"/>
      <c r="T63" s="299"/>
      <c r="U63" s="299"/>
      <c r="V63" s="299"/>
      <c r="W63" s="299"/>
      <c r="X63" s="300"/>
      <c r="Y63" s="295"/>
      <c r="Z63" s="296"/>
      <c r="AA63" s="296"/>
      <c r="AB63" s="296"/>
      <c r="AC63" s="296"/>
      <c r="AD63" s="296"/>
      <c r="AE63" s="296"/>
      <c r="AF63" s="296"/>
      <c r="AG63" s="297"/>
      <c r="AH63" s="130"/>
    </row>
    <row r="64" spans="1:256" ht="21" customHeight="1" x14ac:dyDescent="0.2"/>
    <row r="65" spans="1:46" s="42" customFormat="1" ht="21" customHeight="1" x14ac:dyDescent="0.2">
      <c r="A65" s="1"/>
      <c r="B65" s="4"/>
      <c r="C65" s="4"/>
      <c r="D65" s="4"/>
      <c r="E65" s="4"/>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3"/>
      <c r="AL65" s="3"/>
      <c r="AM65" s="3"/>
      <c r="AN65" s="3"/>
      <c r="AO65" s="3"/>
      <c r="AP65" s="3"/>
      <c r="AQ65" s="3"/>
      <c r="AR65" s="3"/>
      <c r="AS65" s="3"/>
      <c r="AT65" s="4"/>
    </row>
    <row r="66" spans="1:46" ht="21" customHeight="1" thickBot="1" x14ac:dyDescent="0.25">
      <c r="A66" s="57" t="s">
        <v>117</v>
      </c>
    </row>
    <row r="67" spans="1:46" ht="21" customHeight="1" x14ac:dyDescent="0.2">
      <c r="A67" s="266"/>
      <c r="B67" s="267"/>
      <c r="C67" s="267"/>
      <c r="D67" s="267"/>
      <c r="E67" s="267"/>
      <c r="F67" s="267"/>
      <c r="G67" s="267"/>
      <c r="H67" s="267"/>
      <c r="I67" s="267"/>
      <c r="J67" s="267"/>
      <c r="K67" s="267"/>
      <c r="L67" s="183" t="s">
        <v>78</v>
      </c>
      <c r="M67" s="183"/>
      <c r="N67" s="183"/>
      <c r="O67" s="183"/>
      <c r="P67" s="183"/>
      <c r="Q67" s="265" t="s">
        <v>115</v>
      </c>
      <c r="R67" s="265"/>
      <c r="S67" s="265"/>
      <c r="T67" s="265"/>
      <c r="U67" s="265"/>
      <c r="V67" s="265"/>
      <c r="W67" s="265"/>
      <c r="X67" s="265"/>
      <c r="Y67" s="265"/>
      <c r="Z67" s="265"/>
      <c r="AA67" s="265"/>
      <c r="AB67" s="265"/>
      <c r="AC67" s="265"/>
      <c r="AD67" s="265"/>
      <c r="AE67" s="265"/>
      <c r="AF67" s="183" t="s">
        <v>97</v>
      </c>
      <c r="AG67" s="183"/>
      <c r="AH67" s="183"/>
      <c r="AI67" s="183"/>
      <c r="AJ67" s="183"/>
      <c r="AK67" s="183" t="s">
        <v>98</v>
      </c>
      <c r="AL67" s="183"/>
      <c r="AM67" s="183"/>
      <c r="AN67" s="183"/>
      <c r="AO67" s="183"/>
      <c r="AP67" s="183" t="s">
        <v>113</v>
      </c>
      <c r="AQ67" s="183"/>
      <c r="AR67" s="183"/>
      <c r="AS67" s="183"/>
      <c r="AT67" s="185"/>
    </row>
    <row r="68" spans="1:46" ht="42.75" customHeight="1" x14ac:dyDescent="0.2">
      <c r="A68" s="268"/>
      <c r="B68" s="269"/>
      <c r="C68" s="269"/>
      <c r="D68" s="269"/>
      <c r="E68" s="269"/>
      <c r="F68" s="269"/>
      <c r="G68" s="269"/>
      <c r="H68" s="269"/>
      <c r="I68" s="269"/>
      <c r="J68" s="269"/>
      <c r="K68" s="269"/>
      <c r="L68" s="184"/>
      <c r="M68" s="184"/>
      <c r="N68" s="184"/>
      <c r="O68" s="184"/>
      <c r="P68" s="184"/>
      <c r="Q68" s="184" t="s">
        <v>94</v>
      </c>
      <c r="R68" s="184"/>
      <c r="S68" s="184"/>
      <c r="T68" s="184"/>
      <c r="U68" s="184"/>
      <c r="V68" s="184" t="s">
        <v>95</v>
      </c>
      <c r="W68" s="184"/>
      <c r="X68" s="184"/>
      <c r="Y68" s="184"/>
      <c r="Z68" s="184"/>
      <c r="AA68" s="184" t="s">
        <v>96</v>
      </c>
      <c r="AB68" s="184"/>
      <c r="AC68" s="184"/>
      <c r="AD68" s="184"/>
      <c r="AE68" s="184"/>
      <c r="AF68" s="184"/>
      <c r="AG68" s="184"/>
      <c r="AH68" s="184"/>
      <c r="AI68" s="184"/>
      <c r="AJ68" s="184"/>
      <c r="AK68" s="184"/>
      <c r="AL68" s="184"/>
      <c r="AM68" s="184"/>
      <c r="AN68" s="184"/>
      <c r="AO68" s="184"/>
      <c r="AP68" s="184"/>
      <c r="AQ68" s="184"/>
      <c r="AR68" s="184"/>
      <c r="AS68" s="184"/>
      <c r="AT68" s="186"/>
    </row>
    <row r="69" spans="1:46" ht="21" customHeight="1" x14ac:dyDescent="0.2">
      <c r="A69" s="222" t="s">
        <v>91</v>
      </c>
      <c r="B69" s="199" t="s">
        <v>80</v>
      </c>
      <c r="C69" s="200"/>
      <c r="D69" s="200"/>
      <c r="E69" s="200"/>
      <c r="F69" s="200"/>
      <c r="G69" s="200"/>
      <c r="H69" s="200"/>
      <c r="I69" s="200"/>
      <c r="J69" s="200"/>
      <c r="K69" s="201"/>
      <c r="L69" s="173" t="s">
        <v>92</v>
      </c>
      <c r="M69" s="174"/>
      <c r="N69" s="174"/>
      <c r="O69" s="174"/>
      <c r="P69" s="175"/>
      <c r="Q69" s="302" t="s">
        <v>99</v>
      </c>
      <c r="R69" s="303"/>
      <c r="S69" s="303"/>
      <c r="T69" s="303"/>
      <c r="U69" s="304"/>
      <c r="V69" s="302" t="s">
        <v>100</v>
      </c>
      <c r="W69" s="303"/>
      <c r="X69" s="303"/>
      <c r="Y69" s="303"/>
      <c r="Z69" s="304"/>
      <c r="AA69" s="302" t="s">
        <v>101</v>
      </c>
      <c r="AB69" s="303"/>
      <c r="AC69" s="303"/>
      <c r="AD69" s="303"/>
      <c r="AE69" s="304"/>
      <c r="AF69" s="302" t="s">
        <v>102</v>
      </c>
      <c r="AG69" s="303"/>
      <c r="AH69" s="303"/>
      <c r="AI69" s="303"/>
      <c r="AJ69" s="304"/>
      <c r="AK69" s="302" t="s">
        <v>102</v>
      </c>
      <c r="AL69" s="303"/>
      <c r="AM69" s="303"/>
      <c r="AN69" s="303"/>
      <c r="AO69" s="304"/>
      <c r="AP69" s="306" t="s">
        <v>103</v>
      </c>
      <c r="AQ69" s="306"/>
      <c r="AR69" s="306"/>
      <c r="AS69" s="306"/>
      <c r="AT69" s="307"/>
    </row>
    <row r="70" spans="1:46" ht="21" customHeight="1" x14ac:dyDescent="0.2">
      <c r="A70" s="222"/>
      <c r="B70" s="202"/>
      <c r="C70" s="203"/>
      <c r="D70" s="203"/>
      <c r="E70" s="203"/>
      <c r="F70" s="203"/>
      <c r="G70" s="203"/>
      <c r="H70" s="203"/>
      <c r="I70" s="203"/>
      <c r="J70" s="203"/>
      <c r="K70" s="204"/>
      <c r="L70" s="187" t="s">
        <v>93</v>
      </c>
      <c r="M70" s="188"/>
      <c r="N70" s="188"/>
      <c r="O70" s="188"/>
      <c r="P70" s="189"/>
      <c r="Q70" s="250"/>
      <c r="R70" s="251"/>
      <c r="S70" s="251"/>
      <c r="T70" s="251"/>
      <c r="U70" s="305"/>
      <c r="V70" s="250"/>
      <c r="W70" s="251"/>
      <c r="X70" s="251"/>
      <c r="Y70" s="251"/>
      <c r="Z70" s="305"/>
      <c r="AA70" s="250"/>
      <c r="AB70" s="251"/>
      <c r="AC70" s="251"/>
      <c r="AD70" s="251"/>
      <c r="AE70" s="305"/>
      <c r="AF70" s="250"/>
      <c r="AG70" s="251"/>
      <c r="AH70" s="251"/>
      <c r="AI70" s="251"/>
      <c r="AJ70" s="305"/>
      <c r="AK70" s="250"/>
      <c r="AL70" s="251"/>
      <c r="AM70" s="251"/>
      <c r="AN70" s="251"/>
      <c r="AO70" s="305"/>
      <c r="AP70" s="306"/>
      <c r="AQ70" s="306"/>
      <c r="AR70" s="306"/>
      <c r="AS70" s="306"/>
      <c r="AT70" s="307"/>
    </row>
    <row r="71" spans="1:46" ht="21" customHeight="1" x14ac:dyDescent="0.2">
      <c r="A71" s="222"/>
      <c r="B71" s="199" t="s">
        <v>81</v>
      </c>
      <c r="C71" s="200"/>
      <c r="D71" s="200"/>
      <c r="E71" s="200"/>
      <c r="F71" s="200"/>
      <c r="G71" s="200"/>
      <c r="H71" s="200"/>
      <c r="I71" s="200"/>
      <c r="J71" s="200"/>
      <c r="K71" s="201"/>
      <c r="L71" s="173" t="s">
        <v>92</v>
      </c>
      <c r="M71" s="174"/>
      <c r="N71" s="174"/>
      <c r="O71" s="174"/>
      <c r="P71" s="175"/>
      <c r="Q71" s="173" t="s">
        <v>104</v>
      </c>
      <c r="R71" s="174"/>
      <c r="S71" s="174"/>
      <c r="T71" s="174"/>
      <c r="U71" s="174"/>
      <c r="V71" s="173" t="s">
        <v>105</v>
      </c>
      <c r="W71" s="174"/>
      <c r="X71" s="174"/>
      <c r="Y71" s="174"/>
      <c r="Z71" s="174"/>
      <c r="AA71" s="173" t="s">
        <v>107</v>
      </c>
      <c r="AB71" s="174"/>
      <c r="AC71" s="174"/>
      <c r="AD71" s="174"/>
      <c r="AE71" s="174"/>
      <c r="AF71" s="173" t="s">
        <v>108</v>
      </c>
      <c r="AG71" s="174"/>
      <c r="AH71" s="174"/>
      <c r="AI71" s="174"/>
      <c r="AJ71" s="175"/>
      <c r="AK71" s="253"/>
      <c r="AL71" s="254"/>
      <c r="AM71" s="254"/>
      <c r="AN71" s="254"/>
      <c r="AO71" s="255"/>
      <c r="AP71" s="253"/>
      <c r="AQ71" s="254"/>
      <c r="AR71" s="254"/>
      <c r="AS71" s="254"/>
      <c r="AT71" s="270"/>
    </row>
    <row r="72" spans="1:46" ht="21" customHeight="1" x14ac:dyDescent="0.2">
      <c r="A72" s="222"/>
      <c r="B72" s="202"/>
      <c r="C72" s="203"/>
      <c r="D72" s="203"/>
      <c r="E72" s="203"/>
      <c r="F72" s="203"/>
      <c r="G72" s="203"/>
      <c r="H72" s="203"/>
      <c r="I72" s="203"/>
      <c r="J72" s="203"/>
      <c r="K72" s="204"/>
      <c r="L72" s="187" t="s">
        <v>93</v>
      </c>
      <c r="M72" s="188"/>
      <c r="N72" s="188"/>
      <c r="O72" s="188"/>
      <c r="P72" s="189"/>
      <c r="Q72" s="250" t="s">
        <v>101</v>
      </c>
      <c r="R72" s="251"/>
      <c r="S72" s="251"/>
      <c r="T72" s="251"/>
      <c r="U72" s="251"/>
      <c r="V72" s="250" t="s">
        <v>106</v>
      </c>
      <c r="W72" s="251"/>
      <c r="X72" s="251"/>
      <c r="Y72" s="251"/>
      <c r="Z72" s="251"/>
      <c r="AA72" s="250" t="s">
        <v>104</v>
      </c>
      <c r="AB72" s="251"/>
      <c r="AC72" s="251"/>
      <c r="AD72" s="251"/>
      <c r="AE72" s="251"/>
      <c r="AF72" s="250" t="s">
        <v>109</v>
      </c>
      <c r="AG72" s="251"/>
      <c r="AH72" s="251"/>
      <c r="AI72" s="251"/>
      <c r="AJ72" s="251"/>
      <c r="AK72" s="308"/>
      <c r="AL72" s="309"/>
      <c r="AM72" s="309"/>
      <c r="AN72" s="309"/>
      <c r="AO72" s="310"/>
      <c r="AP72" s="308"/>
      <c r="AQ72" s="309"/>
      <c r="AR72" s="309"/>
      <c r="AS72" s="309"/>
      <c r="AT72" s="311"/>
    </row>
    <row r="73" spans="1:46" ht="21" customHeight="1" x14ac:dyDescent="0.2">
      <c r="A73" s="222"/>
      <c r="B73" s="199" t="s">
        <v>82</v>
      </c>
      <c r="C73" s="200"/>
      <c r="D73" s="200"/>
      <c r="E73" s="200"/>
      <c r="F73" s="200"/>
      <c r="G73" s="200"/>
      <c r="H73" s="200"/>
      <c r="I73" s="200"/>
      <c r="J73" s="200"/>
      <c r="K73" s="201"/>
      <c r="L73" s="173" t="s">
        <v>92</v>
      </c>
      <c r="M73" s="174"/>
      <c r="N73" s="174"/>
      <c r="O73" s="174"/>
      <c r="P73" s="175"/>
      <c r="Q73" s="253"/>
      <c r="R73" s="254"/>
      <c r="S73" s="254"/>
      <c r="T73" s="254"/>
      <c r="U73" s="255"/>
      <c r="V73" s="253"/>
      <c r="W73" s="254"/>
      <c r="X73" s="254"/>
      <c r="Y73" s="254"/>
      <c r="Z73" s="255"/>
      <c r="AA73" s="253"/>
      <c r="AB73" s="254"/>
      <c r="AC73" s="254"/>
      <c r="AD73" s="254"/>
      <c r="AE73" s="255"/>
      <c r="AF73" s="253"/>
      <c r="AG73" s="254"/>
      <c r="AH73" s="254"/>
      <c r="AI73" s="254"/>
      <c r="AJ73" s="255"/>
      <c r="AK73" s="302" t="s">
        <v>108</v>
      </c>
      <c r="AL73" s="303"/>
      <c r="AM73" s="303"/>
      <c r="AN73" s="303"/>
      <c r="AO73" s="304"/>
      <c r="AP73" s="302" t="s">
        <v>110</v>
      </c>
      <c r="AQ73" s="303"/>
      <c r="AR73" s="303"/>
      <c r="AS73" s="303"/>
      <c r="AT73" s="312"/>
    </row>
    <row r="74" spans="1:46" ht="21" customHeight="1" x14ac:dyDescent="0.2">
      <c r="A74" s="222"/>
      <c r="B74" s="202"/>
      <c r="C74" s="203"/>
      <c r="D74" s="203"/>
      <c r="E74" s="203"/>
      <c r="F74" s="203"/>
      <c r="G74" s="203"/>
      <c r="H74" s="203"/>
      <c r="I74" s="203"/>
      <c r="J74" s="203"/>
      <c r="K74" s="204"/>
      <c r="L74" s="187" t="s">
        <v>93</v>
      </c>
      <c r="M74" s="188"/>
      <c r="N74" s="188"/>
      <c r="O74" s="188"/>
      <c r="P74" s="189"/>
      <c r="Q74" s="308"/>
      <c r="R74" s="309"/>
      <c r="S74" s="309"/>
      <c r="T74" s="309"/>
      <c r="U74" s="310"/>
      <c r="V74" s="308"/>
      <c r="W74" s="309"/>
      <c r="X74" s="309"/>
      <c r="Y74" s="309"/>
      <c r="Z74" s="310"/>
      <c r="AA74" s="308"/>
      <c r="AB74" s="309"/>
      <c r="AC74" s="309"/>
      <c r="AD74" s="309"/>
      <c r="AE74" s="310"/>
      <c r="AF74" s="308"/>
      <c r="AG74" s="309"/>
      <c r="AH74" s="309"/>
      <c r="AI74" s="309"/>
      <c r="AJ74" s="310"/>
      <c r="AK74" s="250"/>
      <c r="AL74" s="251"/>
      <c r="AM74" s="251"/>
      <c r="AN74" s="251"/>
      <c r="AO74" s="305"/>
      <c r="AP74" s="250"/>
      <c r="AQ74" s="251"/>
      <c r="AR74" s="251"/>
      <c r="AS74" s="251"/>
      <c r="AT74" s="313"/>
    </row>
    <row r="75" spans="1:46" ht="21" customHeight="1" x14ac:dyDescent="0.2">
      <c r="A75" s="222"/>
      <c r="B75" s="199" t="s">
        <v>83</v>
      </c>
      <c r="C75" s="200"/>
      <c r="D75" s="200"/>
      <c r="E75" s="200"/>
      <c r="F75" s="200"/>
      <c r="G75" s="200"/>
      <c r="H75" s="200"/>
      <c r="I75" s="200"/>
      <c r="J75" s="200"/>
      <c r="K75" s="201"/>
      <c r="L75" s="173" t="s">
        <v>92</v>
      </c>
      <c r="M75" s="174"/>
      <c r="N75" s="174"/>
      <c r="O75" s="174"/>
      <c r="P75" s="175"/>
      <c r="Q75" s="173" t="s">
        <v>100</v>
      </c>
      <c r="R75" s="174"/>
      <c r="S75" s="174"/>
      <c r="T75" s="174"/>
      <c r="U75" s="174"/>
      <c r="V75" s="173" t="s">
        <v>104</v>
      </c>
      <c r="W75" s="174"/>
      <c r="X75" s="174"/>
      <c r="Y75" s="174"/>
      <c r="Z75" s="174"/>
      <c r="AA75" s="173" t="s">
        <v>107</v>
      </c>
      <c r="AB75" s="174"/>
      <c r="AC75" s="174"/>
      <c r="AD75" s="174"/>
      <c r="AE75" s="175"/>
      <c r="AF75" s="253"/>
      <c r="AG75" s="254"/>
      <c r="AH75" s="254"/>
      <c r="AI75" s="254"/>
      <c r="AJ75" s="255"/>
      <c r="AK75" s="253"/>
      <c r="AL75" s="254"/>
      <c r="AM75" s="254"/>
      <c r="AN75" s="254"/>
      <c r="AO75" s="255"/>
      <c r="AP75" s="253"/>
      <c r="AQ75" s="254"/>
      <c r="AR75" s="254"/>
      <c r="AS75" s="254"/>
      <c r="AT75" s="270"/>
    </row>
    <row r="76" spans="1:46" ht="21" customHeight="1" x14ac:dyDescent="0.2">
      <c r="A76" s="223"/>
      <c r="B76" s="202"/>
      <c r="C76" s="203"/>
      <c r="D76" s="203"/>
      <c r="E76" s="203"/>
      <c r="F76" s="203"/>
      <c r="G76" s="203"/>
      <c r="H76" s="203"/>
      <c r="I76" s="203"/>
      <c r="J76" s="203"/>
      <c r="K76" s="204"/>
      <c r="L76" s="187" t="s">
        <v>93</v>
      </c>
      <c r="M76" s="188"/>
      <c r="N76" s="188"/>
      <c r="O76" s="188"/>
      <c r="P76" s="189"/>
      <c r="Q76" s="187" t="s">
        <v>111</v>
      </c>
      <c r="R76" s="188"/>
      <c r="S76" s="188"/>
      <c r="T76" s="188"/>
      <c r="U76" s="188"/>
      <c r="V76" s="187" t="s">
        <v>101</v>
      </c>
      <c r="W76" s="188"/>
      <c r="X76" s="188"/>
      <c r="Y76" s="188"/>
      <c r="Z76" s="188"/>
      <c r="AA76" s="187" t="s">
        <v>104</v>
      </c>
      <c r="AB76" s="188"/>
      <c r="AC76" s="188"/>
      <c r="AD76" s="188"/>
      <c r="AE76" s="189"/>
      <c r="AF76" s="308"/>
      <c r="AG76" s="309"/>
      <c r="AH76" s="309"/>
      <c r="AI76" s="309"/>
      <c r="AJ76" s="310"/>
      <c r="AK76" s="308"/>
      <c r="AL76" s="309"/>
      <c r="AM76" s="309"/>
      <c r="AN76" s="309"/>
      <c r="AO76" s="310"/>
      <c r="AP76" s="308"/>
      <c r="AQ76" s="309"/>
      <c r="AR76" s="309"/>
      <c r="AS76" s="309"/>
      <c r="AT76" s="311"/>
    </row>
    <row r="77" spans="1:46" ht="21" customHeight="1" x14ac:dyDescent="0.2">
      <c r="A77" s="193" t="s">
        <v>89</v>
      </c>
      <c r="B77" s="194"/>
      <c r="C77" s="194"/>
      <c r="D77" s="194"/>
      <c r="E77" s="194"/>
      <c r="F77" s="194"/>
      <c r="G77" s="194"/>
      <c r="H77" s="194"/>
      <c r="I77" s="194"/>
      <c r="J77" s="194"/>
      <c r="K77" s="195"/>
      <c r="L77" s="173" t="s">
        <v>92</v>
      </c>
      <c r="M77" s="174"/>
      <c r="N77" s="174"/>
      <c r="O77" s="174"/>
      <c r="P77" s="175"/>
      <c r="Q77" s="173" t="s">
        <v>104</v>
      </c>
      <c r="R77" s="174"/>
      <c r="S77" s="174"/>
      <c r="T77" s="174"/>
      <c r="U77" s="174"/>
      <c r="V77" s="173" t="s">
        <v>105</v>
      </c>
      <c r="W77" s="174"/>
      <c r="X77" s="174"/>
      <c r="Y77" s="174"/>
      <c r="Z77" s="174"/>
      <c r="AA77" s="173" t="s">
        <v>107</v>
      </c>
      <c r="AB77" s="174"/>
      <c r="AC77" s="174"/>
      <c r="AD77" s="174"/>
      <c r="AE77" s="175"/>
      <c r="AF77" s="253"/>
      <c r="AG77" s="254"/>
      <c r="AH77" s="254"/>
      <c r="AI77" s="254"/>
      <c r="AJ77" s="255"/>
      <c r="AK77" s="253"/>
      <c r="AL77" s="254"/>
      <c r="AM77" s="254"/>
      <c r="AN77" s="254"/>
      <c r="AO77" s="255"/>
      <c r="AP77" s="253"/>
      <c r="AQ77" s="254"/>
      <c r="AR77" s="254"/>
      <c r="AS77" s="254"/>
      <c r="AT77" s="270"/>
    </row>
    <row r="78" spans="1:46" ht="21" customHeight="1" thickBot="1" x14ac:dyDescent="0.25">
      <c r="A78" s="196"/>
      <c r="B78" s="197"/>
      <c r="C78" s="197"/>
      <c r="D78" s="197"/>
      <c r="E78" s="197"/>
      <c r="F78" s="197"/>
      <c r="G78" s="197"/>
      <c r="H78" s="197"/>
      <c r="I78" s="197"/>
      <c r="J78" s="197"/>
      <c r="K78" s="198"/>
      <c r="L78" s="262" t="s">
        <v>93</v>
      </c>
      <c r="M78" s="263"/>
      <c r="N78" s="263"/>
      <c r="O78" s="263"/>
      <c r="P78" s="264"/>
      <c r="Q78" s="262" t="s">
        <v>101</v>
      </c>
      <c r="R78" s="263"/>
      <c r="S78" s="263"/>
      <c r="T78" s="263"/>
      <c r="U78" s="263"/>
      <c r="V78" s="262" t="s">
        <v>106</v>
      </c>
      <c r="W78" s="263"/>
      <c r="X78" s="263"/>
      <c r="Y78" s="263"/>
      <c r="Z78" s="263"/>
      <c r="AA78" s="262" t="s">
        <v>104</v>
      </c>
      <c r="AB78" s="263"/>
      <c r="AC78" s="263"/>
      <c r="AD78" s="263"/>
      <c r="AE78" s="264"/>
      <c r="AF78" s="256"/>
      <c r="AG78" s="257"/>
      <c r="AH78" s="257"/>
      <c r="AI78" s="257"/>
      <c r="AJ78" s="258"/>
      <c r="AK78" s="256"/>
      <c r="AL78" s="257"/>
      <c r="AM78" s="257"/>
      <c r="AN78" s="257"/>
      <c r="AO78" s="258"/>
      <c r="AP78" s="256"/>
      <c r="AQ78" s="257"/>
      <c r="AR78" s="257"/>
      <c r="AS78" s="257"/>
      <c r="AT78" s="271"/>
    </row>
    <row r="79" spans="1:46" ht="37.5" customHeight="1" x14ac:dyDescent="0.2">
      <c r="A79" s="272" t="s">
        <v>112</v>
      </c>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c r="AA79" s="272"/>
      <c r="AB79" s="272"/>
      <c r="AC79" s="272"/>
      <c r="AD79" s="272"/>
      <c r="AE79" s="272"/>
      <c r="AF79" s="272"/>
      <c r="AG79" s="272"/>
      <c r="AH79" s="272"/>
      <c r="AI79" s="272"/>
      <c r="AJ79" s="272"/>
      <c r="AK79" s="272"/>
      <c r="AL79" s="272"/>
      <c r="AM79" s="272"/>
      <c r="AN79" s="272"/>
      <c r="AO79" s="272"/>
      <c r="AP79" s="272"/>
      <c r="AQ79" s="272"/>
      <c r="AR79" s="272"/>
      <c r="AS79" s="272"/>
      <c r="AT79" s="272"/>
    </row>
    <row r="80" spans="1:46" ht="21" customHeight="1" x14ac:dyDescent="0.2">
      <c r="A80" s="3" t="s">
        <v>114</v>
      </c>
    </row>
    <row r="81" spans="1:51" ht="38.25" customHeight="1" x14ac:dyDescent="0.2">
      <c r="A81" s="301" t="s">
        <v>116</v>
      </c>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row>
    <row r="82" spans="1:51" s="42" customFormat="1" ht="21" customHeight="1" x14ac:dyDescent="0.2">
      <c r="A82" s="1" t="s">
        <v>133</v>
      </c>
      <c r="B82" s="4"/>
      <c r="C82" s="4"/>
      <c r="D82" s="4"/>
      <c r="E82" s="4"/>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3"/>
      <c r="AL82" s="3"/>
      <c r="AM82" s="3"/>
      <c r="AN82" s="3"/>
      <c r="AO82" s="3"/>
      <c r="AP82" s="3"/>
      <c r="AQ82" s="3"/>
      <c r="AR82" s="3"/>
      <c r="AS82" s="3"/>
      <c r="AT82" s="6"/>
    </row>
    <row r="83" spans="1:51" s="131" customFormat="1" ht="21"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T83" s="3"/>
      <c r="AU83" s="132"/>
      <c r="AV83" s="132"/>
      <c r="AW83" s="132"/>
      <c r="AX83" s="132"/>
      <c r="AY83" s="132"/>
    </row>
    <row r="84" spans="1:51" s="42" customFormat="1" ht="21" customHeight="1" x14ac:dyDescent="0.2">
      <c r="A84" s="133" t="s">
        <v>6</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spans="1:51" s="42" customFormat="1" ht="21" customHeight="1" x14ac:dyDescent="0.2">
      <c r="A85" s="134" t="s">
        <v>24</v>
      </c>
      <c r="B85" s="191" t="s">
        <v>123</v>
      </c>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36"/>
      <c r="AV85" s="136"/>
    </row>
    <row r="86" spans="1:51" s="42" customFormat="1" ht="21" customHeight="1" x14ac:dyDescent="0.2">
      <c r="A86" s="137" t="s">
        <v>25</v>
      </c>
      <c r="B86" s="191" t="s">
        <v>70</v>
      </c>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38"/>
      <c r="AV86" s="136"/>
    </row>
    <row r="87" spans="1:51" s="42" customFormat="1" ht="21" customHeight="1" x14ac:dyDescent="0.2">
      <c r="A87" s="139"/>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38"/>
      <c r="AV87" s="136"/>
    </row>
    <row r="88" spans="1:51" s="42" customFormat="1" ht="21" customHeight="1" x14ac:dyDescent="0.2">
      <c r="A88" s="134"/>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36"/>
      <c r="AV88" s="136"/>
    </row>
    <row r="89" spans="1:51" s="42" customFormat="1" ht="21" customHeight="1" x14ac:dyDescent="0.2">
      <c r="A89" s="133" t="s">
        <v>33</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spans="1:51" s="42" customFormat="1" ht="21" customHeight="1" x14ac:dyDescent="0.2">
      <c r="A90" s="134" t="s">
        <v>24</v>
      </c>
      <c r="B90" s="191" t="s">
        <v>71</v>
      </c>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36"/>
      <c r="AV90" s="136"/>
    </row>
    <row r="91" spans="1:51" s="42" customFormat="1" ht="21" customHeight="1" x14ac:dyDescent="0.2">
      <c r="A91" s="134" t="s">
        <v>25</v>
      </c>
      <c r="B91" s="191" t="s">
        <v>124</v>
      </c>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38"/>
      <c r="AV91" s="136"/>
    </row>
    <row r="92" spans="1:51" s="42" customFormat="1" ht="21" customHeight="1" x14ac:dyDescent="0.2">
      <c r="A92" s="137" t="s">
        <v>26</v>
      </c>
      <c r="B92" s="191" t="s">
        <v>125</v>
      </c>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38"/>
      <c r="AV92" s="136"/>
    </row>
    <row r="93" spans="1:51" s="42" customFormat="1" ht="21" customHeight="1" x14ac:dyDescent="0.2">
      <c r="A93" s="137"/>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38"/>
      <c r="AV93" s="136"/>
    </row>
    <row r="94" spans="1:51" s="42" customFormat="1" ht="21" customHeight="1" x14ac:dyDescent="0.2">
      <c r="A94" s="137"/>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38"/>
      <c r="AV94" s="136"/>
    </row>
    <row r="95" spans="1:51" s="42" customFormat="1" ht="21" customHeight="1" x14ac:dyDescent="0.2">
      <c r="A95" s="140"/>
      <c r="B95" s="192" t="s">
        <v>7</v>
      </c>
      <c r="C95" s="192"/>
      <c r="D95" s="191" t="s">
        <v>126</v>
      </c>
      <c r="E95" s="191"/>
      <c r="F95" s="191"/>
      <c r="G95" s="191"/>
      <c r="H95" s="191"/>
      <c r="I95" s="191"/>
      <c r="J95" s="191"/>
      <c r="K95" s="191"/>
      <c r="L95" s="191"/>
      <c r="M95" s="191"/>
      <c r="N95" s="191"/>
      <c r="O95" s="191"/>
      <c r="P95" s="191"/>
      <c r="Q95" s="191"/>
      <c r="R95" s="191"/>
      <c r="S95" s="191"/>
      <c r="T95" s="191"/>
      <c r="U95" s="191"/>
      <c r="V95" s="191"/>
      <c r="W95" s="191"/>
      <c r="X95" s="191"/>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38"/>
      <c r="AV95" s="136"/>
    </row>
    <row r="96" spans="1:51" s="42" customFormat="1" ht="21" customHeight="1" x14ac:dyDescent="0.2">
      <c r="A96" s="140"/>
      <c r="B96" s="141"/>
      <c r="C96" s="141"/>
      <c r="D96" s="191"/>
      <c r="E96" s="191"/>
      <c r="F96" s="191"/>
      <c r="G96" s="191"/>
      <c r="H96" s="191"/>
      <c r="I96" s="191"/>
      <c r="J96" s="191"/>
      <c r="K96" s="191"/>
      <c r="L96" s="191"/>
      <c r="M96" s="191"/>
      <c r="N96" s="191"/>
      <c r="O96" s="191"/>
      <c r="P96" s="191"/>
      <c r="Q96" s="191"/>
      <c r="R96" s="191"/>
      <c r="S96" s="191"/>
      <c r="T96" s="191"/>
      <c r="U96" s="191"/>
      <c r="V96" s="191"/>
      <c r="W96" s="191"/>
      <c r="X96" s="191"/>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38"/>
      <c r="AV96" s="136"/>
    </row>
    <row r="97" spans="1:52" s="42" customFormat="1" ht="21" customHeight="1" x14ac:dyDescent="0.2">
      <c r="A97" s="140"/>
      <c r="B97" s="192" t="s">
        <v>8</v>
      </c>
      <c r="C97" s="192"/>
      <c r="D97" s="241" t="s">
        <v>127</v>
      </c>
      <c r="E97" s="241"/>
      <c r="F97" s="241"/>
      <c r="G97" s="241"/>
      <c r="H97" s="241"/>
      <c r="I97" s="241"/>
      <c r="J97" s="241"/>
      <c r="K97" s="241"/>
      <c r="L97" s="241"/>
      <c r="M97" s="241"/>
      <c r="N97" s="241"/>
      <c r="O97" s="241"/>
      <c r="P97" s="241"/>
      <c r="Q97" s="241"/>
      <c r="R97" s="241"/>
      <c r="S97" s="241"/>
      <c r="T97" s="241"/>
      <c r="U97" s="241"/>
      <c r="V97" s="241"/>
      <c r="W97" s="241"/>
      <c r="X97" s="241"/>
      <c r="Y97" s="241"/>
      <c r="Z97" s="241"/>
      <c r="AA97" s="241"/>
      <c r="AB97" s="241"/>
      <c r="AC97" s="241"/>
      <c r="AD97" s="241"/>
      <c r="AE97" s="241"/>
      <c r="AF97" s="241"/>
      <c r="AG97" s="241"/>
      <c r="AH97" s="241"/>
      <c r="AI97" s="241"/>
      <c r="AJ97" s="241"/>
      <c r="AK97" s="241"/>
      <c r="AL97" s="241"/>
      <c r="AM97" s="241"/>
      <c r="AN97" s="241"/>
      <c r="AO97" s="241"/>
      <c r="AP97" s="241"/>
      <c r="AQ97" s="241"/>
      <c r="AR97" s="241"/>
      <c r="AS97" s="241"/>
      <c r="AT97" s="241"/>
      <c r="AU97" s="142"/>
      <c r="AV97" s="136"/>
    </row>
    <row r="98" spans="1:52" s="42" customFormat="1" ht="21" customHeight="1" x14ac:dyDescent="0.2">
      <c r="A98" s="140"/>
      <c r="B98" s="192" t="s">
        <v>9</v>
      </c>
      <c r="C98" s="192"/>
      <c r="D98" s="241" t="s">
        <v>128</v>
      </c>
      <c r="E98" s="241"/>
      <c r="F98" s="241"/>
      <c r="G98" s="241"/>
      <c r="H98" s="241"/>
      <c r="I98" s="241"/>
      <c r="J98" s="241"/>
      <c r="K98" s="241"/>
      <c r="L98" s="241"/>
      <c r="M98" s="241"/>
      <c r="N98" s="241"/>
      <c r="O98" s="241"/>
      <c r="P98" s="241"/>
      <c r="Q98" s="241"/>
      <c r="R98" s="241"/>
      <c r="S98" s="241"/>
      <c r="T98" s="241"/>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142"/>
      <c r="AV98" s="136"/>
    </row>
    <row r="99" spans="1:52" s="144" customFormat="1" ht="21" customHeight="1" x14ac:dyDescent="0.2">
      <c r="A99" s="143"/>
      <c r="B99" s="252" t="s">
        <v>14</v>
      </c>
      <c r="C99" s="252"/>
      <c r="D99" s="249" t="s">
        <v>15</v>
      </c>
      <c r="E99" s="249"/>
      <c r="F99" s="249"/>
      <c r="G99" s="249"/>
      <c r="H99" s="249"/>
      <c r="I99" s="249"/>
      <c r="J99" s="249"/>
      <c r="K99" s="249"/>
      <c r="L99" s="249"/>
      <c r="M99" s="249"/>
      <c r="N99" s="249"/>
      <c r="O99" s="249"/>
      <c r="P99" s="249"/>
      <c r="Q99" s="249"/>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O99" s="249"/>
      <c r="AP99" s="249"/>
      <c r="AQ99" s="249"/>
      <c r="AR99" s="249"/>
      <c r="AS99" s="249"/>
      <c r="AT99" s="249"/>
      <c r="AU99" s="138"/>
      <c r="AV99" s="138"/>
    </row>
    <row r="100" spans="1:52" s="42" customFormat="1" ht="21" customHeight="1" x14ac:dyDescent="0.2">
      <c r="A100" s="143"/>
      <c r="B100" s="145"/>
      <c r="C100" s="145"/>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49"/>
      <c r="AH100" s="249"/>
      <c r="AI100" s="249"/>
      <c r="AJ100" s="249"/>
      <c r="AK100" s="249"/>
      <c r="AL100" s="249"/>
      <c r="AM100" s="249"/>
      <c r="AN100" s="249"/>
      <c r="AO100" s="249"/>
      <c r="AP100" s="249"/>
      <c r="AQ100" s="249"/>
      <c r="AR100" s="249"/>
      <c r="AS100" s="249"/>
      <c r="AT100" s="249"/>
      <c r="AU100" s="138"/>
      <c r="AV100" s="138"/>
    </row>
    <row r="101" spans="1:52" s="42" customFormat="1" ht="18" customHeight="1" x14ac:dyDescent="0.2">
      <c r="A101" s="137" t="s">
        <v>27</v>
      </c>
      <c r="B101" s="191" t="s">
        <v>129</v>
      </c>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38"/>
      <c r="AV101" s="136"/>
    </row>
    <row r="102" spans="1:52" s="42" customFormat="1" ht="5.25" customHeight="1" x14ac:dyDescent="0.2">
      <c r="A102" s="137"/>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38"/>
      <c r="AV102" s="136"/>
    </row>
    <row r="103" spans="1:52" s="42" customFormat="1" ht="21" customHeight="1" x14ac:dyDescent="0.2">
      <c r="A103" s="137" t="s">
        <v>28</v>
      </c>
      <c r="B103" s="191" t="s">
        <v>72</v>
      </c>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38"/>
      <c r="AV103" s="136"/>
    </row>
    <row r="104" spans="1:52" s="42" customFormat="1" ht="21" customHeight="1" x14ac:dyDescent="0.2">
      <c r="A104" s="137"/>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38"/>
      <c r="AV104" s="136"/>
    </row>
    <row r="105" spans="1:52" s="42" customFormat="1" ht="21" customHeight="1" x14ac:dyDescent="0.2">
      <c r="A105" s="137" t="s">
        <v>29</v>
      </c>
      <c r="B105" s="191" t="s">
        <v>130</v>
      </c>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38"/>
      <c r="AV105" s="136"/>
    </row>
    <row r="106" spans="1:52" s="42" customFormat="1" ht="21" customHeight="1" x14ac:dyDescent="0.2">
      <c r="A106" s="137"/>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38"/>
      <c r="AV106" s="136"/>
    </row>
    <row r="107" spans="1:52" s="42" customFormat="1" ht="21" customHeight="1" x14ac:dyDescent="0.2">
      <c r="A107" s="137"/>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38"/>
      <c r="AV107" s="136"/>
    </row>
    <row r="108" spans="1:52" s="42" customFormat="1" ht="21" customHeight="1" x14ac:dyDescent="0.2">
      <c r="A108" s="137"/>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38"/>
      <c r="AV108" s="136"/>
    </row>
    <row r="109" spans="1:52" s="42" customFormat="1" ht="42" customHeight="1" x14ac:dyDescent="0.2">
      <c r="A109" s="137"/>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38"/>
      <c r="AV109" s="136"/>
    </row>
    <row r="110" spans="1:52" s="32" customFormat="1" ht="21" customHeight="1" x14ac:dyDescent="0.3">
      <c r="A110" s="134"/>
      <c r="B110" s="134"/>
      <c r="C110" s="142"/>
      <c r="D110" s="242" t="s">
        <v>73</v>
      </c>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c r="AA110" s="243"/>
      <c r="AB110" s="243"/>
      <c r="AC110" s="243"/>
      <c r="AD110" s="243"/>
      <c r="AE110" s="243"/>
      <c r="AF110" s="243"/>
      <c r="AG110" s="243"/>
      <c r="AH110" s="243"/>
      <c r="AI110" s="243"/>
      <c r="AJ110" s="243"/>
      <c r="AK110" s="243"/>
      <c r="AL110" s="243"/>
      <c r="AM110" s="243"/>
      <c r="AN110" s="243"/>
      <c r="AO110" s="243"/>
      <c r="AP110" s="146"/>
      <c r="AQ110" s="142"/>
      <c r="AR110" s="142"/>
      <c r="AS110" s="142"/>
      <c r="AT110" s="142"/>
      <c r="AU110" s="142"/>
      <c r="AV110" s="136"/>
      <c r="AW110" s="136"/>
      <c r="AZ110" s="136"/>
    </row>
    <row r="111" spans="1:52" s="32" customFormat="1" ht="21" customHeight="1" x14ac:dyDescent="0.3">
      <c r="A111" s="134"/>
      <c r="B111" s="134"/>
      <c r="C111" s="142"/>
      <c r="D111" s="244" t="s">
        <v>74</v>
      </c>
      <c r="E111" s="245"/>
      <c r="F111" s="245"/>
      <c r="G111" s="245"/>
      <c r="H111" s="245"/>
      <c r="I111" s="245"/>
      <c r="J111" s="245"/>
      <c r="K111" s="245"/>
      <c r="L111" s="245"/>
      <c r="M111" s="245"/>
      <c r="N111" s="245"/>
      <c r="O111" s="245"/>
      <c r="P111" s="245"/>
      <c r="Q111" s="245"/>
      <c r="R111" s="245"/>
      <c r="S111" s="245"/>
      <c r="T111" s="245"/>
      <c r="U111" s="245"/>
      <c r="V111" s="245"/>
      <c r="W111" s="245"/>
      <c r="X111" s="245"/>
      <c r="Y111" s="245"/>
      <c r="Z111" s="245"/>
      <c r="AA111" s="245"/>
      <c r="AB111" s="245"/>
      <c r="AC111" s="245"/>
      <c r="AD111" s="245"/>
      <c r="AE111" s="245"/>
      <c r="AF111" s="245"/>
      <c r="AG111" s="245"/>
      <c r="AH111" s="245"/>
      <c r="AI111" s="245"/>
      <c r="AJ111" s="245"/>
      <c r="AK111" s="245"/>
      <c r="AL111" s="245"/>
      <c r="AM111" s="245"/>
      <c r="AN111" s="245"/>
      <c r="AO111" s="245"/>
      <c r="AP111" s="146"/>
      <c r="AQ111" s="142"/>
      <c r="AR111" s="142"/>
      <c r="AS111" s="142"/>
      <c r="AT111" s="142"/>
      <c r="AU111" s="142"/>
      <c r="AV111" s="136"/>
      <c r="AW111" s="136"/>
      <c r="AZ111" s="136"/>
    </row>
    <row r="112" spans="1:52" s="32" customFormat="1" ht="21" customHeight="1" x14ac:dyDescent="0.3">
      <c r="A112" s="134"/>
      <c r="B112" s="134"/>
      <c r="C112" s="142"/>
      <c r="D112" s="246" t="s">
        <v>75</v>
      </c>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c r="AA112" s="247"/>
      <c r="AB112" s="247"/>
      <c r="AC112" s="247"/>
      <c r="AD112" s="247"/>
      <c r="AE112" s="247"/>
      <c r="AF112" s="247"/>
      <c r="AG112" s="247"/>
      <c r="AH112" s="247"/>
      <c r="AI112" s="247"/>
      <c r="AJ112" s="247"/>
      <c r="AK112" s="247"/>
      <c r="AL112" s="247"/>
      <c r="AM112" s="247"/>
      <c r="AN112" s="247"/>
      <c r="AO112" s="247"/>
      <c r="AP112" s="146"/>
      <c r="AQ112" s="142"/>
      <c r="AR112" s="142"/>
      <c r="AS112" s="142"/>
      <c r="AT112" s="142"/>
      <c r="AU112" s="142"/>
      <c r="AV112" s="136"/>
      <c r="AW112" s="136"/>
    </row>
    <row r="113" spans="1:49" s="32" customFormat="1" ht="21" customHeight="1" x14ac:dyDescent="0.3">
      <c r="A113" s="134"/>
      <c r="B113" s="134"/>
      <c r="C113" s="142"/>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142"/>
      <c r="AQ113" s="142"/>
      <c r="AR113" s="142"/>
      <c r="AS113" s="142"/>
      <c r="AT113" s="142"/>
      <c r="AU113" s="142"/>
      <c r="AV113" s="136"/>
      <c r="AW113" s="136"/>
    </row>
    <row r="114" spans="1:49" s="42" customFormat="1" ht="63.75" customHeight="1" x14ac:dyDescent="0.2">
      <c r="A114" s="137" t="s">
        <v>30</v>
      </c>
      <c r="B114" s="191" t="s">
        <v>131</v>
      </c>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138"/>
      <c r="AV114" s="136"/>
    </row>
    <row r="115" spans="1:49" s="42" customFormat="1" ht="21" customHeight="1" x14ac:dyDescent="0.2">
      <c r="A115" s="137" t="s">
        <v>31</v>
      </c>
      <c r="B115" s="191" t="s">
        <v>132</v>
      </c>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38"/>
      <c r="AV115" s="136"/>
    </row>
    <row r="116" spans="1:49" s="42" customFormat="1" ht="21" customHeight="1" x14ac:dyDescent="0.2">
      <c r="A116" s="137"/>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38"/>
      <c r="AV116" s="136"/>
    </row>
    <row r="117" spans="1:49" s="42" customFormat="1" ht="21" customHeight="1" x14ac:dyDescent="0.2">
      <c r="A117" s="137" t="s">
        <v>76</v>
      </c>
      <c r="B117" s="191" t="s">
        <v>77</v>
      </c>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38"/>
      <c r="AV117" s="136"/>
    </row>
    <row r="118" spans="1:49" s="42" customFormat="1" ht="21" customHeight="1" x14ac:dyDescent="0.2">
      <c r="A118" s="137"/>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8"/>
      <c r="AV118" s="136"/>
    </row>
    <row r="119" spans="1:49" s="42" customFormat="1" ht="21" customHeight="1" x14ac:dyDescent="0.2">
      <c r="A119" s="147" t="s">
        <v>10</v>
      </c>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c r="AL119" s="136"/>
      <c r="AM119" s="136"/>
      <c r="AN119" s="136"/>
      <c r="AO119" s="136"/>
      <c r="AP119" s="136"/>
      <c r="AQ119" s="136"/>
      <c r="AR119" s="136"/>
      <c r="AS119" s="136"/>
      <c r="AT119" s="136"/>
      <c r="AU119" s="136"/>
      <c r="AV119" s="136"/>
    </row>
    <row r="120" spans="1:49" s="42" customFormat="1" ht="21" customHeight="1" x14ac:dyDescent="0.2">
      <c r="A120" s="140" t="s">
        <v>24</v>
      </c>
      <c r="B120" s="191" t="s">
        <v>12</v>
      </c>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38"/>
      <c r="AV120" s="136"/>
    </row>
    <row r="121" spans="1:49" s="42" customFormat="1" ht="21" customHeight="1" x14ac:dyDescent="0.2">
      <c r="A121" s="140"/>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38"/>
      <c r="AV121" s="136"/>
    </row>
    <row r="122" spans="1:49" s="42" customFormat="1" ht="21" customHeight="1" x14ac:dyDescent="0.2">
      <c r="A122" s="140" t="s">
        <v>25</v>
      </c>
      <c r="B122" s="191" t="s">
        <v>13</v>
      </c>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38"/>
      <c r="AV122" s="136"/>
    </row>
    <row r="123" spans="1:49" s="42" customFormat="1" ht="21" customHeight="1" x14ac:dyDescent="0.2">
      <c r="A123" s="140" t="s">
        <v>26</v>
      </c>
      <c r="B123" s="241" t="s">
        <v>11</v>
      </c>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c r="AA123" s="241"/>
      <c r="AB123" s="241"/>
      <c r="AC123" s="241"/>
      <c r="AD123" s="241"/>
      <c r="AE123" s="241"/>
      <c r="AF123" s="241"/>
      <c r="AG123" s="241"/>
      <c r="AH123" s="241"/>
      <c r="AI123" s="241"/>
      <c r="AJ123" s="241"/>
      <c r="AK123" s="241"/>
      <c r="AL123" s="241"/>
      <c r="AM123" s="241"/>
      <c r="AN123" s="241"/>
      <c r="AO123" s="241"/>
      <c r="AP123" s="241"/>
      <c r="AQ123" s="241"/>
      <c r="AR123" s="241"/>
      <c r="AS123" s="241"/>
      <c r="AT123" s="241"/>
      <c r="AU123" s="136"/>
      <c r="AV123" s="136"/>
    </row>
    <row r="124" spans="1:49" ht="21" customHeight="1" x14ac:dyDescent="0.2"/>
    <row r="125" spans="1:49" ht="21" customHeight="1" x14ac:dyDescent="0.2"/>
    <row r="126" spans="1:49" ht="21" customHeight="1" x14ac:dyDescent="0.2"/>
    <row r="127" spans="1:49" ht="21" customHeight="1" x14ac:dyDescent="0.2"/>
    <row r="128" spans="1:49" ht="21" customHeight="1" x14ac:dyDescent="0.2"/>
    <row r="129" ht="21" customHeight="1" x14ac:dyDescent="0.2"/>
    <row r="130" ht="21" customHeight="1" x14ac:dyDescent="0.2"/>
    <row r="131" ht="21" customHeight="1" x14ac:dyDescent="0.2"/>
    <row r="132" ht="21" customHeight="1" x14ac:dyDescent="0.2"/>
    <row r="133" ht="21" customHeight="1" x14ac:dyDescent="0.2"/>
    <row r="134" ht="21" customHeight="1" x14ac:dyDescent="0.2"/>
    <row r="135" ht="21" customHeight="1" x14ac:dyDescent="0.2"/>
    <row r="136" ht="21" customHeight="1" x14ac:dyDescent="0.2"/>
    <row r="137" ht="21" customHeight="1" x14ac:dyDescent="0.2"/>
    <row r="138" ht="21" customHeight="1" x14ac:dyDescent="0.2"/>
    <row r="139" ht="21" customHeight="1" x14ac:dyDescent="0.2"/>
    <row r="140" ht="21" customHeight="1" x14ac:dyDescent="0.2"/>
    <row r="141" ht="21" customHeight="1" x14ac:dyDescent="0.2"/>
    <row r="142" ht="21" customHeight="1" x14ac:dyDescent="0.2"/>
    <row r="143" ht="21" customHeight="1" x14ac:dyDescent="0.2"/>
    <row r="144" ht="21" customHeight="1" x14ac:dyDescent="0.2"/>
    <row r="145" ht="21" customHeight="1" x14ac:dyDescent="0.2"/>
    <row r="146" ht="21" customHeight="1" x14ac:dyDescent="0.2"/>
    <row r="147" ht="21" customHeight="1" x14ac:dyDescent="0.2"/>
    <row r="148" ht="21" customHeight="1" x14ac:dyDescent="0.2"/>
    <row r="149" ht="21" customHeight="1" x14ac:dyDescent="0.2"/>
    <row r="150" ht="21" customHeight="1" x14ac:dyDescent="0.2"/>
    <row r="151" ht="21" customHeight="1" x14ac:dyDescent="0.2"/>
    <row r="152" ht="21" customHeight="1" x14ac:dyDescent="0.2"/>
    <row r="153" ht="21" customHeight="1" x14ac:dyDescent="0.2"/>
    <row r="154" ht="21" customHeight="1" x14ac:dyDescent="0.2"/>
    <row r="155" ht="21" customHeight="1" x14ac:dyDescent="0.2"/>
    <row r="156" ht="21" customHeight="1" x14ac:dyDescent="0.2"/>
    <row r="157" ht="21" customHeight="1" x14ac:dyDescent="0.2"/>
    <row r="158" ht="21" customHeight="1" x14ac:dyDescent="0.2"/>
    <row r="159" ht="21" customHeight="1" x14ac:dyDescent="0.2"/>
    <row r="160" ht="21" customHeight="1" x14ac:dyDescent="0.2"/>
    <row r="161" ht="21" customHeight="1" x14ac:dyDescent="0.2"/>
    <row r="162" ht="21" customHeight="1" x14ac:dyDescent="0.2"/>
    <row r="163" ht="21" customHeight="1" x14ac:dyDescent="0.2"/>
    <row r="164" ht="21" customHeight="1" x14ac:dyDescent="0.2"/>
    <row r="165" ht="21" customHeight="1" x14ac:dyDescent="0.2"/>
    <row r="166" ht="21" customHeight="1" x14ac:dyDescent="0.2"/>
    <row r="167" ht="21" customHeight="1" x14ac:dyDescent="0.2"/>
    <row r="168" ht="21" customHeight="1" x14ac:dyDescent="0.2"/>
    <row r="169" ht="21" customHeight="1" x14ac:dyDescent="0.2"/>
    <row r="170" ht="21" customHeight="1" x14ac:dyDescent="0.2"/>
    <row r="171" ht="21" customHeight="1" x14ac:dyDescent="0.2"/>
    <row r="172" ht="21" customHeight="1" x14ac:dyDescent="0.2"/>
    <row r="173" ht="21" customHeight="1" x14ac:dyDescent="0.2"/>
    <row r="174" ht="21" customHeight="1" x14ac:dyDescent="0.2"/>
    <row r="175" ht="21" customHeight="1" x14ac:dyDescent="0.2"/>
    <row r="176" ht="21" customHeight="1" x14ac:dyDescent="0.2"/>
    <row r="177" ht="21" customHeight="1" x14ac:dyDescent="0.2"/>
    <row r="178" ht="21" customHeight="1" x14ac:dyDescent="0.2"/>
    <row r="179" ht="21" customHeight="1" x14ac:dyDescent="0.2"/>
    <row r="180" ht="21" customHeight="1" x14ac:dyDescent="0.2"/>
    <row r="181" ht="21" customHeight="1" x14ac:dyDescent="0.2"/>
    <row r="182" ht="21" customHeight="1" x14ac:dyDescent="0.2"/>
    <row r="183" ht="21" customHeight="1" x14ac:dyDescent="0.2"/>
    <row r="184" ht="21" customHeight="1" x14ac:dyDescent="0.2"/>
    <row r="185" ht="21" customHeight="1" x14ac:dyDescent="0.2"/>
    <row r="186" ht="21" customHeight="1" x14ac:dyDescent="0.2"/>
    <row r="187" ht="21" customHeight="1" x14ac:dyDescent="0.2"/>
    <row r="188" ht="21" customHeight="1" x14ac:dyDescent="0.2"/>
    <row r="189" ht="21" customHeight="1" x14ac:dyDescent="0.2"/>
    <row r="190" ht="21" customHeight="1" x14ac:dyDescent="0.2"/>
    <row r="191" ht="21" customHeight="1" x14ac:dyDescent="0.2"/>
    <row r="192" ht="21" customHeight="1" x14ac:dyDescent="0.2"/>
    <row r="193" ht="21" customHeight="1" x14ac:dyDescent="0.2"/>
    <row r="194" ht="21" customHeight="1" x14ac:dyDescent="0.2"/>
    <row r="195" ht="21" customHeight="1" x14ac:dyDescent="0.2"/>
    <row r="196" ht="21" customHeight="1" x14ac:dyDescent="0.2"/>
    <row r="197" ht="21" customHeight="1" x14ac:dyDescent="0.2"/>
    <row r="198" ht="21" customHeight="1" x14ac:dyDescent="0.2"/>
    <row r="199" ht="21" customHeight="1" x14ac:dyDescent="0.2"/>
    <row r="200" ht="21" customHeight="1" x14ac:dyDescent="0.2"/>
    <row r="201" ht="21" customHeight="1" x14ac:dyDescent="0.2"/>
    <row r="202" ht="21" customHeight="1" x14ac:dyDescent="0.2"/>
    <row r="203" ht="21" customHeight="1" x14ac:dyDescent="0.2"/>
    <row r="204" ht="21" customHeight="1" x14ac:dyDescent="0.2"/>
    <row r="205" ht="21" customHeight="1" x14ac:dyDescent="0.2"/>
    <row r="206" ht="21" customHeight="1" x14ac:dyDescent="0.2"/>
    <row r="207" ht="21" customHeight="1" x14ac:dyDescent="0.2"/>
    <row r="208" ht="21" customHeight="1" x14ac:dyDescent="0.2"/>
    <row r="209" ht="21" customHeight="1" x14ac:dyDescent="0.2"/>
    <row r="210" ht="21" customHeight="1" x14ac:dyDescent="0.2"/>
    <row r="211" ht="21" customHeight="1" x14ac:dyDescent="0.2"/>
  </sheetData>
  <sheetProtection algorithmName="SHA-512" hashValue="/lsoAunpJpjccCDYQZprtTxbIX+Tu0ZRlMLMfux+Y+XHDPQKQlRJKNKVkQP7w6SeM6dHMLRxEJJWJwjtA5aUAQ==" saltValue="vVYeJ4EF64hY0wE8zA4qJA==" spinCount="100000" sheet="1" objects="1" scenarios="1"/>
  <mergeCells count="189">
    <mergeCell ref="A81:AT81"/>
    <mergeCell ref="Q78:U78"/>
    <mergeCell ref="V78:Z78"/>
    <mergeCell ref="AA78:AE78"/>
    <mergeCell ref="Q69:U70"/>
    <mergeCell ref="V69:Z70"/>
    <mergeCell ref="AA69:AE70"/>
    <mergeCell ref="AF69:AJ70"/>
    <mergeCell ref="AK69:AO70"/>
    <mergeCell ref="AP69:AT70"/>
    <mergeCell ref="Q73:U74"/>
    <mergeCell ref="V73:Z74"/>
    <mergeCell ref="AA73:AE74"/>
    <mergeCell ref="AK71:AO72"/>
    <mergeCell ref="AP71:AT72"/>
    <mergeCell ref="AK73:AO74"/>
    <mergeCell ref="AP73:AT74"/>
    <mergeCell ref="AF73:AJ74"/>
    <mergeCell ref="AF75:AJ76"/>
    <mergeCell ref="AK75:AO76"/>
    <mergeCell ref="AP75:AT76"/>
    <mergeCell ref="AF77:AJ78"/>
    <mergeCell ref="Q76:U76"/>
    <mergeCell ref="V76:Z76"/>
    <mergeCell ref="AP77:AT78"/>
    <mergeCell ref="A79:AT79"/>
    <mergeCell ref="A54:A61"/>
    <mergeCell ref="B54:K55"/>
    <mergeCell ref="L54:P54"/>
    <mergeCell ref="Q54:X55"/>
    <mergeCell ref="Y56:AG59"/>
    <mergeCell ref="Q58:X59"/>
    <mergeCell ref="Q60:X60"/>
    <mergeCell ref="Y60:AG61"/>
    <mergeCell ref="Q71:U71"/>
    <mergeCell ref="V71:Z71"/>
    <mergeCell ref="AA71:AE71"/>
    <mergeCell ref="AF71:AJ71"/>
    <mergeCell ref="Y54:AG55"/>
    <mergeCell ref="Q56:X56"/>
    <mergeCell ref="Y62:AG63"/>
    <mergeCell ref="Q63:X63"/>
    <mergeCell ref="L78:P78"/>
    <mergeCell ref="AF72:AJ72"/>
    <mergeCell ref="Q75:U75"/>
    <mergeCell ref="V75:Z75"/>
    <mergeCell ref="AA75:AE75"/>
    <mergeCell ref="Q61:X61"/>
    <mergeCell ref="L76:P76"/>
    <mergeCell ref="Q62:X62"/>
    <mergeCell ref="B58:K59"/>
    <mergeCell ref="L58:P58"/>
    <mergeCell ref="L59:P59"/>
    <mergeCell ref="B60:K61"/>
    <mergeCell ref="L60:P60"/>
    <mergeCell ref="L61:P61"/>
    <mergeCell ref="A62:K63"/>
    <mergeCell ref="L62:P62"/>
    <mergeCell ref="L63:P63"/>
    <mergeCell ref="Q67:AE67"/>
    <mergeCell ref="A67:K68"/>
    <mergeCell ref="L67:P68"/>
    <mergeCell ref="Q68:U68"/>
    <mergeCell ref="V68:Z68"/>
    <mergeCell ref="AA68:AE68"/>
    <mergeCell ref="Q72:U72"/>
    <mergeCell ref="D99:AT100"/>
    <mergeCell ref="B85:AT85"/>
    <mergeCell ref="B86:AT87"/>
    <mergeCell ref="B88:AT88"/>
    <mergeCell ref="B90:AT90"/>
    <mergeCell ref="B91:AT91"/>
    <mergeCell ref="B105:AT109"/>
    <mergeCell ref="V72:Z72"/>
    <mergeCell ref="AA72:AE72"/>
    <mergeCell ref="B97:C97"/>
    <mergeCell ref="D97:AT97"/>
    <mergeCell ref="B98:C98"/>
    <mergeCell ref="D98:AT98"/>
    <mergeCell ref="B99:C99"/>
    <mergeCell ref="B71:K72"/>
    <mergeCell ref="L71:P71"/>
    <mergeCell ref="L72:P72"/>
    <mergeCell ref="B73:K74"/>
    <mergeCell ref="L73:P73"/>
    <mergeCell ref="AA76:AE76"/>
    <mergeCell ref="Q77:U77"/>
    <mergeCell ref="V77:Z77"/>
    <mergeCell ref="AA77:AE77"/>
    <mergeCell ref="AK77:AO78"/>
    <mergeCell ref="B117:AT117"/>
    <mergeCell ref="B120:AT121"/>
    <mergeCell ref="B122:AT122"/>
    <mergeCell ref="B123:AT123"/>
    <mergeCell ref="B101:AT102"/>
    <mergeCell ref="B103:AT104"/>
    <mergeCell ref="D110:AO110"/>
    <mergeCell ref="D111:AO111"/>
    <mergeCell ref="D112:AO112"/>
    <mergeCell ref="B114:AT114"/>
    <mergeCell ref="B115:AT116"/>
    <mergeCell ref="E41:J41"/>
    <mergeCell ref="AK41:AQ41"/>
    <mergeCell ref="E42:J42"/>
    <mergeCell ref="M42:R42"/>
    <mergeCell ref="U42:Z42"/>
    <mergeCell ref="AK42:AP42"/>
    <mergeCell ref="E30:K30"/>
    <mergeCell ref="M37:R37"/>
    <mergeCell ref="U37:Z37"/>
    <mergeCell ref="U30:Z30"/>
    <mergeCell ref="AC32:AH32"/>
    <mergeCell ref="AC30:AH30"/>
    <mergeCell ref="M30:S30"/>
    <mergeCell ref="E37:J37"/>
    <mergeCell ref="E36:J36"/>
    <mergeCell ref="E31:J31"/>
    <mergeCell ref="M31:R31"/>
    <mergeCell ref="U31:Z31"/>
    <mergeCell ref="AC36:AI36"/>
    <mergeCell ref="AC37:AH37"/>
    <mergeCell ref="AC31:AH31"/>
    <mergeCell ref="B92:AT94"/>
    <mergeCell ref="B95:C95"/>
    <mergeCell ref="D95:AT96"/>
    <mergeCell ref="A77:K78"/>
    <mergeCell ref="L77:P77"/>
    <mergeCell ref="AL49:AM49"/>
    <mergeCell ref="AN49:AO49"/>
    <mergeCell ref="AP49:AQ49"/>
    <mergeCell ref="AR49:AS49"/>
    <mergeCell ref="L74:P74"/>
    <mergeCell ref="B75:K76"/>
    <mergeCell ref="A52:K53"/>
    <mergeCell ref="L52:P53"/>
    <mergeCell ref="Q52:AG52"/>
    <mergeCell ref="Q53:X53"/>
    <mergeCell ref="Y53:AG53"/>
    <mergeCell ref="L55:P55"/>
    <mergeCell ref="B56:K57"/>
    <mergeCell ref="A69:A76"/>
    <mergeCell ref="B69:K70"/>
    <mergeCell ref="L69:P69"/>
    <mergeCell ref="L70:P70"/>
    <mergeCell ref="Q57:X57"/>
    <mergeCell ref="AF67:AJ68"/>
    <mergeCell ref="AK43:AP43"/>
    <mergeCell ref="AC42:AH42"/>
    <mergeCell ref="L75:P75"/>
    <mergeCell ref="M25:R25"/>
    <mergeCell ref="U25:AA25"/>
    <mergeCell ref="E26:J26"/>
    <mergeCell ref="M26:R26"/>
    <mergeCell ref="U26:Z26"/>
    <mergeCell ref="E20:J20"/>
    <mergeCell ref="M20:R20"/>
    <mergeCell ref="U20:Z20"/>
    <mergeCell ref="E21:J21"/>
    <mergeCell ref="M21:R21"/>
    <mergeCell ref="U21:Z21"/>
    <mergeCell ref="E25:K25"/>
    <mergeCell ref="U38:Z38"/>
    <mergeCell ref="AC43:AH43"/>
    <mergeCell ref="AK67:AO68"/>
    <mergeCell ref="AP67:AT68"/>
    <mergeCell ref="L56:P56"/>
    <mergeCell ref="L57:P57"/>
    <mergeCell ref="AL45:AR45"/>
    <mergeCell ref="AL46:AQ46"/>
    <mergeCell ref="AC38:AH38"/>
    <mergeCell ref="F16:K16"/>
    <mergeCell ref="N16:S16"/>
    <mergeCell ref="V16:AA16"/>
    <mergeCell ref="AK12:AP12"/>
    <mergeCell ref="E12:J12"/>
    <mergeCell ref="M12:R12"/>
    <mergeCell ref="U12:Z12"/>
    <mergeCell ref="AC12:AH12"/>
    <mergeCell ref="AX22:AZ22"/>
    <mergeCell ref="B7:I7"/>
    <mergeCell ref="J7:W7"/>
    <mergeCell ref="Y7:AD7"/>
    <mergeCell ref="AE7:AT7"/>
    <mergeCell ref="AO1:AT1"/>
    <mergeCell ref="AL3:AM3"/>
    <mergeCell ref="AN3:AO3"/>
    <mergeCell ref="AP3:AQ3"/>
    <mergeCell ref="AR3:AS3"/>
    <mergeCell ref="A5:AT5"/>
  </mergeCells>
  <phoneticPr fontId="3"/>
  <dataValidations count="4">
    <dataValidation type="list" allowBlank="1" showInputMessage="1" showErrorMessage="1" sqref="WQW982986:WQX982987 WHA982986:WHB982987 VXE982986:VXF982987 VNI982986:VNJ982987 VDM982986:VDN982987 UTQ982986:UTR982987 UJU982986:UJV982987 TZY982986:TZZ982987 TQC982986:TQD982987 TGG982986:TGH982987 SWK982986:SWL982987 SMO982986:SMP982987 SCS982986:SCT982987 RSW982986:RSX982987 RJA982986:RJB982987 QZE982986:QZF982987 QPI982986:QPJ982987 QFM982986:QFN982987 PVQ982986:PVR982987 PLU982986:PLV982987 PBY982986:PBZ982987 OSC982986:OSD982987 OIG982986:OIH982987 NYK982986:NYL982987 NOO982986:NOP982987 NES982986:NET982987 MUW982986:MUX982987 MLA982986:MLB982987 MBE982986:MBF982987 LRI982986:LRJ982987 LHM982986:LHN982987 KXQ982986:KXR982987 KNU982986:KNV982987 KDY982986:KDZ982987 JUC982986:JUD982987 JKG982986:JKH982987 JAK982986:JAL982987 IQO982986:IQP982987 IGS982986:IGT982987 HWW982986:HWX982987 HNA982986:HNB982987 HDE982986:HDF982987 GTI982986:GTJ982987 GJM982986:GJN982987 FZQ982986:FZR982987 FPU982986:FPV982987 FFY982986:FFZ982987 EWC982986:EWD982987 EMG982986:EMH982987 ECK982986:ECL982987 DSO982986:DSP982987 DIS982986:DIT982987 CYW982986:CYX982987 CPA982986:CPB982987 CFE982986:CFF982987 BVI982986:BVJ982987 BLM982986:BLN982987 BBQ982986:BBR982987 ARU982986:ARV982987 AHY982986:AHZ982987 YC982986:YD982987 OG982986:OH982987 EK982986:EL982987 WQW917450:WQX917451 WHA917450:WHB917451 VXE917450:VXF917451 VNI917450:VNJ917451 VDM917450:VDN917451 UTQ917450:UTR917451 UJU917450:UJV917451 TZY917450:TZZ917451 TQC917450:TQD917451 TGG917450:TGH917451 SWK917450:SWL917451 SMO917450:SMP917451 SCS917450:SCT917451 RSW917450:RSX917451 RJA917450:RJB917451 QZE917450:QZF917451 QPI917450:QPJ917451 QFM917450:QFN917451 PVQ917450:PVR917451 PLU917450:PLV917451 PBY917450:PBZ917451 OSC917450:OSD917451 OIG917450:OIH917451 NYK917450:NYL917451 NOO917450:NOP917451 NES917450:NET917451 MUW917450:MUX917451 MLA917450:MLB917451 MBE917450:MBF917451 LRI917450:LRJ917451 LHM917450:LHN917451 KXQ917450:KXR917451 KNU917450:KNV917451 KDY917450:KDZ917451 JUC917450:JUD917451 JKG917450:JKH917451 JAK917450:JAL917451 IQO917450:IQP917451 IGS917450:IGT917451 HWW917450:HWX917451 HNA917450:HNB917451 HDE917450:HDF917451 GTI917450:GTJ917451 GJM917450:GJN917451 FZQ917450:FZR917451 FPU917450:FPV917451 FFY917450:FFZ917451 EWC917450:EWD917451 EMG917450:EMH917451 ECK917450:ECL917451 DSO917450:DSP917451 DIS917450:DIT917451 CYW917450:CYX917451 CPA917450:CPB917451 CFE917450:CFF917451 BVI917450:BVJ917451 BLM917450:BLN917451 BBQ917450:BBR917451 ARU917450:ARV917451 AHY917450:AHZ917451 YC917450:YD917451 OG917450:OH917451 EK917450:EL917451 WQW851914:WQX851915 WHA851914:WHB851915 VXE851914:VXF851915 VNI851914:VNJ851915 VDM851914:VDN851915 UTQ851914:UTR851915 UJU851914:UJV851915 TZY851914:TZZ851915 TQC851914:TQD851915 TGG851914:TGH851915 SWK851914:SWL851915 SMO851914:SMP851915 SCS851914:SCT851915 RSW851914:RSX851915 RJA851914:RJB851915 QZE851914:QZF851915 QPI851914:QPJ851915 QFM851914:QFN851915 PVQ851914:PVR851915 PLU851914:PLV851915 PBY851914:PBZ851915 OSC851914:OSD851915 OIG851914:OIH851915 NYK851914:NYL851915 NOO851914:NOP851915 NES851914:NET851915 MUW851914:MUX851915 MLA851914:MLB851915 MBE851914:MBF851915 LRI851914:LRJ851915 LHM851914:LHN851915 KXQ851914:KXR851915 KNU851914:KNV851915 KDY851914:KDZ851915 JUC851914:JUD851915 JKG851914:JKH851915 JAK851914:JAL851915 IQO851914:IQP851915 IGS851914:IGT851915 HWW851914:HWX851915 HNA851914:HNB851915 HDE851914:HDF851915 GTI851914:GTJ851915 GJM851914:GJN851915 FZQ851914:FZR851915 FPU851914:FPV851915 FFY851914:FFZ851915 EWC851914:EWD851915 EMG851914:EMH851915 ECK851914:ECL851915 DSO851914:DSP851915 DIS851914:DIT851915 CYW851914:CYX851915 CPA851914:CPB851915 CFE851914:CFF851915 BVI851914:BVJ851915 BLM851914:BLN851915 BBQ851914:BBR851915 ARU851914:ARV851915 AHY851914:AHZ851915 YC851914:YD851915 OG851914:OH851915 EK851914:EL851915 WQW786378:WQX786379 WHA786378:WHB786379 VXE786378:VXF786379 VNI786378:VNJ786379 VDM786378:VDN786379 UTQ786378:UTR786379 UJU786378:UJV786379 TZY786378:TZZ786379 TQC786378:TQD786379 TGG786378:TGH786379 SWK786378:SWL786379 SMO786378:SMP786379 SCS786378:SCT786379 RSW786378:RSX786379 RJA786378:RJB786379 QZE786378:QZF786379 QPI786378:QPJ786379 QFM786378:QFN786379 PVQ786378:PVR786379 PLU786378:PLV786379 PBY786378:PBZ786379 OSC786378:OSD786379 OIG786378:OIH786379 NYK786378:NYL786379 NOO786378:NOP786379 NES786378:NET786379 MUW786378:MUX786379 MLA786378:MLB786379 MBE786378:MBF786379 LRI786378:LRJ786379 LHM786378:LHN786379 KXQ786378:KXR786379 KNU786378:KNV786379 KDY786378:KDZ786379 JUC786378:JUD786379 JKG786378:JKH786379 JAK786378:JAL786379 IQO786378:IQP786379 IGS786378:IGT786379 HWW786378:HWX786379 HNA786378:HNB786379 HDE786378:HDF786379 GTI786378:GTJ786379 GJM786378:GJN786379 FZQ786378:FZR786379 FPU786378:FPV786379 FFY786378:FFZ786379 EWC786378:EWD786379 EMG786378:EMH786379 ECK786378:ECL786379 DSO786378:DSP786379 DIS786378:DIT786379 CYW786378:CYX786379 CPA786378:CPB786379 CFE786378:CFF786379 BVI786378:BVJ786379 BLM786378:BLN786379 BBQ786378:BBR786379 ARU786378:ARV786379 AHY786378:AHZ786379 YC786378:YD786379 OG786378:OH786379 EK786378:EL786379 WQW720842:WQX720843 WHA720842:WHB720843 VXE720842:VXF720843 VNI720842:VNJ720843 VDM720842:VDN720843 UTQ720842:UTR720843 UJU720842:UJV720843 TZY720842:TZZ720843 TQC720842:TQD720843 TGG720842:TGH720843 SWK720842:SWL720843 SMO720842:SMP720843 SCS720842:SCT720843 RSW720842:RSX720843 RJA720842:RJB720843 QZE720842:QZF720843 QPI720842:QPJ720843 QFM720842:QFN720843 PVQ720842:PVR720843 PLU720842:PLV720843 PBY720842:PBZ720843 OSC720842:OSD720843 OIG720842:OIH720843 NYK720842:NYL720843 NOO720842:NOP720843 NES720842:NET720843 MUW720842:MUX720843 MLA720842:MLB720843 MBE720842:MBF720843 LRI720842:LRJ720843 LHM720842:LHN720843 KXQ720842:KXR720843 KNU720842:KNV720843 KDY720842:KDZ720843 JUC720842:JUD720843 JKG720842:JKH720843 JAK720842:JAL720843 IQO720842:IQP720843 IGS720842:IGT720843 HWW720842:HWX720843 HNA720842:HNB720843 HDE720842:HDF720843 GTI720842:GTJ720843 GJM720842:GJN720843 FZQ720842:FZR720843 FPU720842:FPV720843 FFY720842:FFZ720843 EWC720842:EWD720843 EMG720842:EMH720843 ECK720842:ECL720843 DSO720842:DSP720843 DIS720842:DIT720843 CYW720842:CYX720843 CPA720842:CPB720843 CFE720842:CFF720843 BVI720842:BVJ720843 BLM720842:BLN720843 BBQ720842:BBR720843 ARU720842:ARV720843 AHY720842:AHZ720843 YC720842:YD720843 OG720842:OH720843 EK720842:EL720843 WQW655306:WQX655307 WHA655306:WHB655307 VXE655306:VXF655307 VNI655306:VNJ655307 VDM655306:VDN655307 UTQ655306:UTR655307 UJU655306:UJV655307 TZY655306:TZZ655307 TQC655306:TQD655307 TGG655306:TGH655307 SWK655306:SWL655307 SMO655306:SMP655307 SCS655306:SCT655307 RSW655306:RSX655307 RJA655306:RJB655307 QZE655306:QZF655307 QPI655306:QPJ655307 QFM655306:QFN655307 PVQ655306:PVR655307 PLU655306:PLV655307 PBY655306:PBZ655307 OSC655306:OSD655307 OIG655306:OIH655307 NYK655306:NYL655307 NOO655306:NOP655307 NES655306:NET655307 MUW655306:MUX655307 MLA655306:MLB655307 MBE655306:MBF655307 LRI655306:LRJ655307 LHM655306:LHN655307 KXQ655306:KXR655307 KNU655306:KNV655307 KDY655306:KDZ655307 JUC655306:JUD655307 JKG655306:JKH655307 JAK655306:JAL655307 IQO655306:IQP655307 IGS655306:IGT655307 HWW655306:HWX655307 HNA655306:HNB655307 HDE655306:HDF655307 GTI655306:GTJ655307 GJM655306:GJN655307 FZQ655306:FZR655307 FPU655306:FPV655307 FFY655306:FFZ655307 EWC655306:EWD655307 EMG655306:EMH655307 ECK655306:ECL655307 DSO655306:DSP655307 DIS655306:DIT655307 CYW655306:CYX655307 CPA655306:CPB655307 CFE655306:CFF655307 BVI655306:BVJ655307 BLM655306:BLN655307 BBQ655306:BBR655307 ARU655306:ARV655307 AHY655306:AHZ655307 YC655306:YD655307 OG655306:OH655307 EK655306:EL655307 WQW589770:WQX589771 WHA589770:WHB589771 VXE589770:VXF589771 VNI589770:VNJ589771 VDM589770:VDN589771 UTQ589770:UTR589771 UJU589770:UJV589771 TZY589770:TZZ589771 TQC589770:TQD589771 TGG589770:TGH589771 SWK589770:SWL589771 SMO589770:SMP589771 SCS589770:SCT589771 RSW589770:RSX589771 RJA589770:RJB589771 QZE589770:QZF589771 QPI589770:QPJ589771 QFM589770:QFN589771 PVQ589770:PVR589771 PLU589770:PLV589771 PBY589770:PBZ589771 OSC589770:OSD589771 OIG589770:OIH589771 NYK589770:NYL589771 NOO589770:NOP589771 NES589770:NET589771 MUW589770:MUX589771 MLA589770:MLB589771 MBE589770:MBF589771 LRI589770:LRJ589771 LHM589770:LHN589771 KXQ589770:KXR589771 KNU589770:KNV589771 KDY589770:KDZ589771 JUC589770:JUD589771 JKG589770:JKH589771 JAK589770:JAL589771 IQO589770:IQP589771 IGS589770:IGT589771 HWW589770:HWX589771 HNA589770:HNB589771 HDE589770:HDF589771 GTI589770:GTJ589771 GJM589770:GJN589771 FZQ589770:FZR589771 FPU589770:FPV589771 FFY589770:FFZ589771 EWC589770:EWD589771 EMG589770:EMH589771 ECK589770:ECL589771 DSO589770:DSP589771 DIS589770:DIT589771 CYW589770:CYX589771 CPA589770:CPB589771 CFE589770:CFF589771 BVI589770:BVJ589771 BLM589770:BLN589771 BBQ589770:BBR589771 ARU589770:ARV589771 AHY589770:AHZ589771 YC589770:YD589771 OG589770:OH589771 EK589770:EL589771 WQW524234:WQX524235 WHA524234:WHB524235 VXE524234:VXF524235 VNI524234:VNJ524235 VDM524234:VDN524235 UTQ524234:UTR524235 UJU524234:UJV524235 TZY524234:TZZ524235 TQC524234:TQD524235 TGG524234:TGH524235 SWK524234:SWL524235 SMO524234:SMP524235 SCS524234:SCT524235 RSW524234:RSX524235 RJA524234:RJB524235 QZE524234:QZF524235 QPI524234:QPJ524235 QFM524234:QFN524235 PVQ524234:PVR524235 PLU524234:PLV524235 PBY524234:PBZ524235 OSC524234:OSD524235 OIG524234:OIH524235 NYK524234:NYL524235 NOO524234:NOP524235 NES524234:NET524235 MUW524234:MUX524235 MLA524234:MLB524235 MBE524234:MBF524235 LRI524234:LRJ524235 LHM524234:LHN524235 KXQ524234:KXR524235 KNU524234:KNV524235 KDY524234:KDZ524235 JUC524234:JUD524235 JKG524234:JKH524235 JAK524234:JAL524235 IQO524234:IQP524235 IGS524234:IGT524235 HWW524234:HWX524235 HNA524234:HNB524235 HDE524234:HDF524235 GTI524234:GTJ524235 GJM524234:GJN524235 FZQ524234:FZR524235 FPU524234:FPV524235 FFY524234:FFZ524235 EWC524234:EWD524235 EMG524234:EMH524235 ECK524234:ECL524235 DSO524234:DSP524235 DIS524234:DIT524235 CYW524234:CYX524235 CPA524234:CPB524235 CFE524234:CFF524235 BVI524234:BVJ524235 BLM524234:BLN524235 BBQ524234:BBR524235 ARU524234:ARV524235 AHY524234:AHZ524235 YC524234:YD524235 OG524234:OH524235 EK524234:EL524235 WQW458698:WQX458699 WHA458698:WHB458699 VXE458698:VXF458699 VNI458698:VNJ458699 VDM458698:VDN458699 UTQ458698:UTR458699 UJU458698:UJV458699 TZY458698:TZZ458699 TQC458698:TQD458699 TGG458698:TGH458699 SWK458698:SWL458699 SMO458698:SMP458699 SCS458698:SCT458699 RSW458698:RSX458699 RJA458698:RJB458699 QZE458698:QZF458699 QPI458698:QPJ458699 QFM458698:QFN458699 PVQ458698:PVR458699 PLU458698:PLV458699 PBY458698:PBZ458699 OSC458698:OSD458699 OIG458698:OIH458699 NYK458698:NYL458699 NOO458698:NOP458699 NES458698:NET458699 MUW458698:MUX458699 MLA458698:MLB458699 MBE458698:MBF458699 LRI458698:LRJ458699 LHM458698:LHN458699 KXQ458698:KXR458699 KNU458698:KNV458699 KDY458698:KDZ458699 JUC458698:JUD458699 JKG458698:JKH458699 JAK458698:JAL458699 IQO458698:IQP458699 IGS458698:IGT458699 HWW458698:HWX458699 HNA458698:HNB458699 HDE458698:HDF458699 GTI458698:GTJ458699 GJM458698:GJN458699 FZQ458698:FZR458699 FPU458698:FPV458699 FFY458698:FFZ458699 EWC458698:EWD458699 EMG458698:EMH458699 ECK458698:ECL458699 DSO458698:DSP458699 DIS458698:DIT458699 CYW458698:CYX458699 CPA458698:CPB458699 CFE458698:CFF458699 BVI458698:BVJ458699 BLM458698:BLN458699 BBQ458698:BBR458699 ARU458698:ARV458699 AHY458698:AHZ458699 YC458698:YD458699 OG458698:OH458699 EK458698:EL458699 WQW393162:WQX393163 WHA393162:WHB393163 VXE393162:VXF393163 VNI393162:VNJ393163 VDM393162:VDN393163 UTQ393162:UTR393163 UJU393162:UJV393163 TZY393162:TZZ393163 TQC393162:TQD393163 TGG393162:TGH393163 SWK393162:SWL393163 SMO393162:SMP393163 SCS393162:SCT393163 RSW393162:RSX393163 RJA393162:RJB393163 QZE393162:QZF393163 QPI393162:QPJ393163 QFM393162:QFN393163 PVQ393162:PVR393163 PLU393162:PLV393163 PBY393162:PBZ393163 OSC393162:OSD393163 OIG393162:OIH393163 NYK393162:NYL393163 NOO393162:NOP393163 NES393162:NET393163 MUW393162:MUX393163 MLA393162:MLB393163 MBE393162:MBF393163 LRI393162:LRJ393163 LHM393162:LHN393163 KXQ393162:KXR393163 KNU393162:KNV393163 KDY393162:KDZ393163 JUC393162:JUD393163 JKG393162:JKH393163 JAK393162:JAL393163 IQO393162:IQP393163 IGS393162:IGT393163 HWW393162:HWX393163 HNA393162:HNB393163 HDE393162:HDF393163 GTI393162:GTJ393163 GJM393162:GJN393163 FZQ393162:FZR393163 FPU393162:FPV393163 FFY393162:FFZ393163 EWC393162:EWD393163 EMG393162:EMH393163 ECK393162:ECL393163 DSO393162:DSP393163 DIS393162:DIT393163 CYW393162:CYX393163 CPA393162:CPB393163 CFE393162:CFF393163 BVI393162:BVJ393163 BLM393162:BLN393163 BBQ393162:BBR393163 ARU393162:ARV393163 AHY393162:AHZ393163 YC393162:YD393163 OG393162:OH393163 EK393162:EL393163 WQW327626:WQX327627 WHA327626:WHB327627 VXE327626:VXF327627 VNI327626:VNJ327627 VDM327626:VDN327627 UTQ327626:UTR327627 UJU327626:UJV327627 TZY327626:TZZ327627 TQC327626:TQD327627 TGG327626:TGH327627 SWK327626:SWL327627 SMO327626:SMP327627 SCS327626:SCT327627 RSW327626:RSX327627 RJA327626:RJB327627 QZE327626:QZF327627 QPI327626:QPJ327627 QFM327626:QFN327627 PVQ327626:PVR327627 PLU327626:PLV327627 PBY327626:PBZ327627 OSC327626:OSD327627 OIG327626:OIH327627 NYK327626:NYL327627 NOO327626:NOP327627 NES327626:NET327627 MUW327626:MUX327627 MLA327626:MLB327627 MBE327626:MBF327627 LRI327626:LRJ327627 LHM327626:LHN327627 KXQ327626:KXR327627 KNU327626:KNV327627 KDY327626:KDZ327627 JUC327626:JUD327627 JKG327626:JKH327627 JAK327626:JAL327627 IQO327626:IQP327627 IGS327626:IGT327627 HWW327626:HWX327627 HNA327626:HNB327627 HDE327626:HDF327627 GTI327626:GTJ327627 GJM327626:GJN327627 FZQ327626:FZR327627 FPU327626:FPV327627 FFY327626:FFZ327627 EWC327626:EWD327627 EMG327626:EMH327627 ECK327626:ECL327627 DSO327626:DSP327627 DIS327626:DIT327627 CYW327626:CYX327627 CPA327626:CPB327627 CFE327626:CFF327627 BVI327626:BVJ327627 BLM327626:BLN327627 BBQ327626:BBR327627 ARU327626:ARV327627 AHY327626:AHZ327627 YC327626:YD327627 OG327626:OH327627 EK327626:EL327627 WQW262090:WQX262091 WHA262090:WHB262091 VXE262090:VXF262091 VNI262090:VNJ262091 VDM262090:VDN262091 UTQ262090:UTR262091 UJU262090:UJV262091 TZY262090:TZZ262091 TQC262090:TQD262091 TGG262090:TGH262091 SWK262090:SWL262091 SMO262090:SMP262091 SCS262090:SCT262091 RSW262090:RSX262091 RJA262090:RJB262091 QZE262090:QZF262091 QPI262090:QPJ262091 QFM262090:QFN262091 PVQ262090:PVR262091 PLU262090:PLV262091 PBY262090:PBZ262091 OSC262090:OSD262091 OIG262090:OIH262091 NYK262090:NYL262091 NOO262090:NOP262091 NES262090:NET262091 MUW262090:MUX262091 MLA262090:MLB262091 MBE262090:MBF262091 LRI262090:LRJ262091 LHM262090:LHN262091 KXQ262090:KXR262091 KNU262090:KNV262091 KDY262090:KDZ262091 JUC262090:JUD262091 JKG262090:JKH262091 JAK262090:JAL262091 IQO262090:IQP262091 IGS262090:IGT262091 HWW262090:HWX262091 HNA262090:HNB262091 HDE262090:HDF262091 GTI262090:GTJ262091 GJM262090:GJN262091 FZQ262090:FZR262091 FPU262090:FPV262091 FFY262090:FFZ262091 EWC262090:EWD262091 EMG262090:EMH262091 ECK262090:ECL262091 DSO262090:DSP262091 DIS262090:DIT262091 CYW262090:CYX262091 CPA262090:CPB262091 CFE262090:CFF262091 BVI262090:BVJ262091 BLM262090:BLN262091 BBQ262090:BBR262091 ARU262090:ARV262091 AHY262090:AHZ262091 YC262090:YD262091 OG262090:OH262091 EK262090:EL262091 WQW196554:WQX196555 WHA196554:WHB196555 VXE196554:VXF196555 VNI196554:VNJ196555 VDM196554:VDN196555 UTQ196554:UTR196555 UJU196554:UJV196555 TZY196554:TZZ196555 TQC196554:TQD196555 TGG196554:TGH196555 SWK196554:SWL196555 SMO196554:SMP196555 SCS196554:SCT196555 RSW196554:RSX196555 RJA196554:RJB196555 QZE196554:QZF196555 QPI196554:QPJ196555 QFM196554:QFN196555 PVQ196554:PVR196555 PLU196554:PLV196555 PBY196554:PBZ196555 OSC196554:OSD196555 OIG196554:OIH196555 NYK196554:NYL196555 NOO196554:NOP196555 NES196554:NET196555 MUW196554:MUX196555 MLA196554:MLB196555 MBE196554:MBF196555 LRI196554:LRJ196555 LHM196554:LHN196555 KXQ196554:KXR196555 KNU196554:KNV196555 KDY196554:KDZ196555 JUC196554:JUD196555 JKG196554:JKH196555 JAK196554:JAL196555 IQO196554:IQP196555 IGS196554:IGT196555 HWW196554:HWX196555 HNA196554:HNB196555 HDE196554:HDF196555 GTI196554:GTJ196555 GJM196554:GJN196555 FZQ196554:FZR196555 FPU196554:FPV196555 FFY196554:FFZ196555 EWC196554:EWD196555 EMG196554:EMH196555 ECK196554:ECL196555 DSO196554:DSP196555 DIS196554:DIT196555 CYW196554:CYX196555 CPA196554:CPB196555 CFE196554:CFF196555 BVI196554:BVJ196555 BLM196554:BLN196555 BBQ196554:BBR196555 ARU196554:ARV196555 AHY196554:AHZ196555 YC196554:YD196555 OG196554:OH196555 EK196554:EL196555 WQW131018:WQX131019 WHA131018:WHB131019 VXE131018:VXF131019 VNI131018:VNJ131019 VDM131018:VDN131019 UTQ131018:UTR131019 UJU131018:UJV131019 TZY131018:TZZ131019 TQC131018:TQD131019 TGG131018:TGH131019 SWK131018:SWL131019 SMO131018:SMP131019 SCS131018:SCT131019 RSW131018:RSX131019 RJA131018:RJB131019 QZE131018:QZF131019 QPI131018:QPJ131019 QFM131018:QFN131019 PVQ131018:PVR131019 PLU131018:PLV131019 PBY131018:PBZ131019 OSC131018:OSD131019 OIG131018:OIH131019 NYK131018:NYL131019 NOO131018:NOP131019 NES131018:NET131019 MUW131018:MUX131019 MLA131018:MLB131019 MBE131018:MBF131019 LRI131018:LRJ131019 LHM131018:LHN131019 KXQ131018:KXR131019 KNU131018:KNV131019 KDY131018:KDZ131019 JUC131018:JUD131019 JKG131018:JKH131019 JAK131018:JAL131019 IQO131018:IQP131019 IGS131018:IGT131019 HWW131018:HWX131019 HNA131018:HNB131019 HDE131018:HDF131019 GTI131018:GTJ131019 GJM131018:GJN131019 FZQ131018:FZR131019 FPU131018:FPV131019 FFY131018:FFZ131019 EWC131018:EWD131019 EMG131018:EMH131019 ECK131018:ECL131019 DSO131018:DSP131019 DIS131018:DIT131019 CYW131018:CYX131019 CPA131018:CPB131019 CFE131018:CFF131019 BVI131018:BVJ131019 BLM131018:BLN131019 BBQ131018:BBR131019 ARU131018:ARV131019 AHY131018:AHZ131019 YC131018:YD131019 OG131018:OH131019 EK131018:EL131019 WQW65482:WQX65483 WHA65482:WHB65483 VXE65482:VXF65483 VNI65482:VNJ65483 VDM65482:VDN65483 UTQ65482:UTR65483 UJU65482:UJV65483 TZY65482:TZZ65483 TQC65482:TQD65483 TGG65482:TGH65483 SWK65482:SWL65483 SMO65482:SMP65483 SCS65482:SCT65483 RSW65482:RSX65483 RJA65482:RJB65483 QZE65482:QZF65483 QPI65482:QPJ65483 QFM65482:QFN65483 PVQ65482:PVR65483 PLU65482:PLV65483 PBY65482:PBZ65483 OSC65482:OSD65483 OIG65482:OIH65483 NYK65482:NYL65483 NOO65482:NOP65483 NES65482:NET65483 MUW65482:MUX65483 MLA65482:MLB65483 MBE65482:MBF65483 LRI65482:LRJ65483 LHM65482:LHN65483 KXQ65482:KXR65483 KNU65482:KNV65483 KDY65482:KDZ65483 JUC65482:JUD65483 JKG65482:JKH65483 JAK65482:JAL65483 IQO65482:IQP65483 IGS65482:IGT65483 HWW65482:HWX65483 HNA65482:HNB65483 HDE65482:HDF65483 GTI65482:GTJ65483 GJM65482:GJN65483 FZQ65482:FZR65483 FPU65482:FPV65483 FFY65482:FFZ65483 EWC65482:EWD65483 EMG65482:EMH65483 ECK65482:ECL65483 DSO65482:DSP65483 DIS65482:DIT65483 CYW65482:CYX65483 CPA65482:CPB65483 CFE65482:CFF65483 BVI65482:BVJ65483 BLM65482:BLN65483 BBQ65482:BBR65483 ARU65482:ARV65483 AHY65482:AHZ65483 YC65482:YD65483 OG65482:OH65483 EK65482:EL65483 E131007:F131008 E196543:F196544 E262079:F262080 E327615:F327616 E393151:F393152 E458687:F458688 E524223:F524224 E589759:F589760 E655295:F655296 E720831:F720832 E786367:F786368 E851903:F851904 E917439:F917440 E982975:F982976 E65471:F65472" xr:uid="{BA49DCCF-CAE2-4452-B2F2-378ADF035297}">
      <formula1>"○"</formula1>
    </dataValidation>
    <dataValidation type="list" allowBlank="1" showInputMessage="1" showErrorMessage="1" sqref="M37:R37" xr:uid="{C8E3B321-E15B-4ABB-9011-5D5FED253510}">
      <formula1>$AW$29:$AW$47</formula1>
    </dataValidation>
    <dataValidation type="list" allowBlank="1" showInputMessage="1" showErrorMessage="1" sqref="U31:Z31" xr:uid="{E28B4AEE-5EBB-4C01-9F1C-B32B0F845221}">
      <formula1>$AV$29:$AV$33</formula1>
    </dataValidation>
    <dataValidation type="list" allowBlank="1" showInputMessage="1" showErrorMessage="1" sqref="M42:R42" xr:uid="{70E5A605-2DE1-4479-A003-59EE82564768}">
      <formula1>$AX$35:$AX$40</formula1>
    </dataValidation>
  </dataValidations>
  <printOptions horizontalCentered="1"/>
  <pageMargins left="0.39370078740157483" right="0.39370078740157483" top="0.59055118110236227" bottom="0.19685039370078741" header="0.19685039370078741" footer="0.19685039370078741"/>
  <pageSetup paperSize="9" scale="68" fitToHeight="0" orientation="portrait" r:id="rId1"/>
  <headerFooter alignWithMargins="0"/>
  <rowBreaks count="2" manualBreakCount="2">
    <brk id="48" max="45" man="1"/>
    <brk id="81" max="4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様式第6-2号</vt:lpstr>
      <vt:lpstr>'様式第6-2号'!Print_Area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橋本 奈美</cp:lastModifiedBy>
  <dcterms:modified xsi:type="dcterms:W3CDTF">2026-04-07T00:46:20Z</dcterms:modified>
</cp:coreProperties>
</file>